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ROJECTS\SmartBuy\ml\personalization\"/>
    </mc:Choice>
  </mc:AlternateContent>
  <xr:revisionPtr revIDLastSave="0" documentId="13_ncr:1_{3D8192C9-C010-4A01-87E4-80A619CD231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ME" sheetId="1" r:id="rId1"/>
    <sheet name="training_sample" sheetId="2" r:id="rId2"/>
    <sheet name="feature_schema" sheetId="3" r:id="rId3"/>
    <sheet name="class_balance" sheetId="4" r:id="rId4"/>
  </sheets>
  <calcPr calcId="191029"/>
</workbook>
</file>

<file path=xl/calcChain.xml><?xml version="1.0" encoding="utf-8"?>
<calcChain xmlns="http://schemas.openxmlformats.org/spreadsheetml/2006/main">
  <c r="C6" i="4" l="1"/>
  <c r="D5" i="4" s="1"/>
  <c r="B5" i="4"/>
  <c r="B4" i="4"/>
  <c r="B3" i="4"/>
  <c r="B2" i="4"/>
  <c r="D3" i="4" l="1"/>
  <c r="D4" i="4"/>
  <c r="D2" i="4"/>
  <c r="B6" i="4"/>
  <c r="D6" i="4" l="1"/>
</calcChain>
</file>

<file path=xl/sharedStrings.xml><?xml version="1.0" encoding="utf-8"?>
<sst xmlns="http://schemas.openxmlformats.org/spreadsheetml/2006/main" count="235" uniqueCount="147">
  <si>
    <t>SmartBuy AI - shopper-segment classifier: training dataset preview</t>
  </si>
  <si>
    <t>WHAT THIS FILE IS</t>
  </si>
  <si>
    <t>A sample of the exact matrix that ml/personalization/train.py fits the model on.</t>
  </si>
  <si>
    <t>There is no dataset file in the repository. The matrix is built at train time from</t>
  </si>
  <si>
    <t>the application database by app/ml/features.py, which is the same feature code that</t>
  </si>
  <si>
    <t>runs at serving time. This export walks that identical path and writes the result out.</t>
  </si>
  <si>
    <t>HOW A ROW IS PRODUCED</t>
  </si>
  <si>
    <t>1. Every user in user_preferences that carries a non-null `segment` is selected.</t>
  </si>
  <si>
    <t>2. app/ml/features.py aggregates that user's rows in product_interactions, joined to</t>
  </si>
  <si>
    <t xml:space="preserve">   products, into the 27 numbers in FEATURE_NAMES order.</t>
  </si>
  <si>
    <t>3. Users with fewer than 10 interactions are dropped (MIN_EVENTS in train.py).</t>
  </si>
  <si>
    <t>4. `segment` is the label. It is never an input feature.</t>
  </si>
  <si>
    <t>WHAT THE DATA IS</t>
  </si>
  <si>
    <t>Synthetic. Every user, interaction and segment label in this matrix was generated by</t>
  </si>
  <si>
    <t>backend/scripts/seed.py. No real shopper data was collected or used, and there is no</t>
  </si>
  <si>
    <t>PII in this file -- the identifiers are generated UUIDs.</t>
  </si>
  <si>
    <t>The catalog the interactions point at is a curated product set; prices, ratings and</t>
  </si>
  <si>
    <t>discounts are catalog attributes, not live marketplace prices.</t>
  </si>
  <si>
    <t>THE CAVEAT THAT MUST TRAVEL WITH THE ACCURACY FIGURE</t>
  </si>
  <si>
    <t>Because seed.py both assigns the segment and shapes the behaviour that follows from it,</t>
  </si>
  <si>
    <t>a model that recovers the segment demonstrates the pipeline works end to end. It is not</t>
  </si>
  <si>
    <t>evidence about how real shoppers behave. The holdout accuracy in training_report.json</t>
  </si>
  <si>
    <t>must never be presented as a claim about real customers.</t>
  </si>
  <si>
    <t>SHEETS</t>
  </si>
  <si>
    <t>training_sample    Stratified preview rows, verbatim feature values.</t>
  </si>
  <si>
    <t>feature_schema     All 27 columns: order, unit, and definition.</t>
  </si>
  <si>
    <t>class_balance      Label distribution, in the sample and in the full matrix.</t>
  </si>
  <si>
    <t>REPRODUCE</t>
  </si>
  <si>
    <t>python ml/personalization/export_dataset_sample.py</t>
  </si>
  <si>
    <t>Sampling is deterministic: 10 rows per segment, random.Random(42).</t>
  </si>
  <si>
    <t>INTEGRITY CHECK AGAINST THE SHIPPED MODEL</t>
  </si>
  <si>
    <t>Match. This export rebuilt 250 rows x 27 features with class counts identical to model/training_report.json, so the database still holds the dataset the shipped classifier was fitted on.</t>
  </si>
  <si>
    <t>user_id</t>
  </si>
  <si>
    <t>segment (LABEL)</t>
  </si>
  <si>
    <t>n_events</t>
  </si>
  <si>
    <t>rate_viewed</t>
  </si>
  <si>
    <t>rate_clicked</t>
  </si>
  <si>
    <t>rate_liked</t>
  </si>
  <si>
    <t>rate_saved</t>
  </si>
  <si>
    <t>rate_purchased</t>
  </si>
  <si>
    <t>rate_disliked</t>
  </si>
  <si>
    <t>rate_not_interested</t>
  </si>
  <si>
    <t>engagement_rate</t>
  </si>
  <si>
    <t>conversion_rate</t>
  </si>
  <si>
    <t>negative_rate</t>
  </si>
  <si>
    <t>mean_price</t>
  </si>
  <si>
    <t>median_price</t>
  </si>
  <si>
    <t>price_spread</t>
  </si>
  <si>
    <t>mean_discount</t>
  </si>
  <si>
    <t>max_discount</t>
  </si>
  <si>
    <t>mean_rating</t>
  </si>
  <si>
    <t>mean_review_count</t>
  </si>
  <si>
    <t>mean_delivery_days</t>
  </si>
  <si>
    <t>n_distinct_products</t>
  </si>
  <si>
    <t>n_distinct_categories</t>
  </si>
  <si>
    <t>n_distinct_brands</t>
  </si>
  <si>
    <t>brand_concentration</t>
  </si>
  <si>
    <t>category_concentration</t>
  </si>
  <si>
    <t>purchase_mean_discount</t>
  </si>
  <si>
    <t>purchase_mean_price</t>
  </si>
  <si>
    <t>discount_gap</t>
  </si>
  <si>
    <t>0af31203-fdaf-4030-a505-edcb098e8160</t>
  </si>
  <si>
    <t>brand_loyal</t>
  </si>
  <si>
    <t>116f42c6-49c7-424d-9656-fa95555b8a0e</t>
  </si>
  <si>
    <t>148fcde3-7963-4fbb-851b-1993c3e88c10</t>
  </si>
  <si>
    <t>175dbce5-6b51-43f6-955b-c972d1cc5e05</t>
  </si>
  <si>
    <t>4dbfd243-c585-4cb5-8925-f3f4f58462dd</t>
  </si>
  <si>
    <t>4f1b802b-98db-46c0-8eec-848e9a39ca54</t>
  </si>
  <si>
    <t>50992b07-c0c6-4472-992d-f9921550ee51</t>
  </si>
  <si>
    <t>ae63075f-0aa2-4a29-a116-6785d2c6aa2c</t>
  </si>
  <si>
    <t>d0e42778-6164-4076-a921-851e4bf375ba</t>
  </si>
  <si>
    <t>f21f5fa6-6ac3-47b3-b887-24442093e5fb</t>
  </si>
  <si>
    <t>0d841c30-53b9-49a5-835e-f14387a1d760</t>
  </si>
  <si>
    <t>deal_seeker</t>
  </si>
  <si>
    <t>11e84163-fed2-4777-99a4-48c8d26a55d1</t>
  </si>
  <si>
    <t>11f86b23-59b8-433d-9cc1-ea08212c2a03</t>
  </si>
  <si>
    <t>2787cfd7-60c6-49f4-8287-1c620a3bbe82</t>
  </si>
  <si>
    <t>3a9136a7-62b4-43d0-90d3-7ced1a199e39</t>
  </si>
  <si>
    <t>3be0077e-df02-4f19-a74c-783bd153859d</t>
  </si>
  <si>
    <t>7c3ab4f9-d51e-4519-ae93-9671f0524cbc</t>
  </si>
  <si>
    <t>9ddd1966-9e01-46ff-820e-ec7f5127c951</t>
  </si>
  <si>
    <t>dcb441c8-fc40-48a7-8023-6be8883024cd</t>
  </si>
  <si>
    <t>f3a9e4d2-b0f3-4284-99f2-10f8e951303f</t>
  </si>
  <si>
    <t>3410a44d-b6f8-4cff-845d-f977cbc30e13</t>
  </si>
  <si>
    <t>premium_buyer</t>
  </si>
  <si>
    <t>39e711cc-1f40-4e24-bada-be747c466cb9</t>
  </si>
  <si>
    <t>773e9b6c-9d93-445f-b2dc-32781acdddf6</t>
  </si>
  <si>
    <t>7cb0825b-57db-4767-9ad9-5b1738b63981</t>
  </si>
  <si>
    <t>91e757bc-def2-4416-8150-d58e7f96a7d7</t>
  </si>
  <si>
    <t>9a8d6e1f-4abb-4906-b609-6bff41aa9e55</t>
  </si>
  <si>
    <t>a0bca4fa-bb35-455f-a74b-318152774aa7</t>
  </si>
  <si>
    <t>b3db4022-8dd9-4789-851d-fe0e0e3c0dfa</t>
  </si>
  <si>
    <t>be1358d0-2c22-4afb-a808-1c07ebf17eda</t>
  </si>
  <si>
    <t>c3e1c6f3-f30e-422b-82aa-4affd275f1a1</t>
  </si>
  <si>
    <t>02d507f0-1af8-4ea0-bcef-d4a7867a3792</t>
  </si>
  <si>
    <t>window_shopper</t>
  </si>
  <si>
    <t>1d59b955-402d-4737-bc25-55bdebb0cc1a</t>
  </si>
  <si>
    <t>33bd7b3a-b3ba-429e-a1fd-732a0d76b61c</t>
  </si>
  <si>
    <t>4474cbb4-28ab-4c43-816e-a93d5688959a</t>
  </si>
  <si>
    <t>553e7314-f6f9-4a63-b814-c460f87b460e</t>
  </si>
  <si>
    <t>a886110f-a9ca-4afe-a313-e70e0159074c</t>
  </si>
  <si>
    <t>a94cc3d9-9896-46b5-b6e4-cfb42c14e3d4</t>
  </si>
  <si>
    <t>cae3061f-73b0-4292-b134-7e1d5ecd05dd</t>
  </si>
  <si>
    <t>dc2f05cd-05da-4c75-ab40-bc522504f191</t>
  </si>
  <si>
    <t>ec3cea27-3ada-4739-9f36-99307d03c5c8</t>
  </si>
  <si>
    <t>#</t>
  </si>
  <si>
    <t>column</t>
  </si>
  <si>
    <t>unit</t>
  </si>
  <si>
    <t>definition</t>
  </si>
  <si>
    <t>count</t>
  </si>
  <si>
    <t>Total recorded interactions for this user. Rows below the MIN_EVENTS floor are dropped before training.</t>
  </si>
  <si>
    <t>fraction 0-1</t>
  </si>
  <si>
    <t>Share of this user's events that were 'viewed'.</t>
  </si>
  <si>
    <t>Share of this user's events that were 'clicked'.</t>
  </si>
  <si>
    <t>Share of this user's events that were 'liked'.</t>
  </si>
  <si>
    <t>Share of this user's events that were 'saved'.</t>
  </si>
  <si>
    <t>Share of this user's events that were 'purchased'.</t>
  </si>
  <si>
    <t>Share of this user's events that were 'disliked'.</t>
  </si>
  <si>
    <t>Share of this user's events that were 'not_interested'.</t>
  </si>
  <si>
    <t>(clicked + liked + saved) / n_events.</t>
  </si>
  <si>
    <t>purchased / n_events.</t>
  </si>
  <si>
    <t>(disliked + not_interested) / n_events.</t>
  </si>
  <si>
    <t>INR</t>
  </si>
  <si>
    <t>Mean list price of every product the user touched.</t>
  </si>
  <si>
    <t>Median list price of every product the user touched.</t>
  </si>
  <si>
    <t>Sample standard deviation of those prices.</t>
  </si>
  <si>
    <t>percentage points</t>
  </si>
  <si>
    <t>Mean discount_pct across touched products. Catalog range is 0-48.</t>
  </si>
  <si>
    <t>Largest discount_pct the user was exposed to.</t>
  </si>
  <si>
    <t>stars 0-5</t>
  </si>
  <si>
    <t>Mean catalog rating of touched products.</t>
  </si>
  <si>
    <t>Mean review count of touched products.</t>
  </si>
  <si>
    <t>days</t>
  </si>
  <si>
    <t>Mean advertised delivery time of touched products.</t>
  </si>
  <si>
    <t>Distinct products touched.</t>
  </si>
  <si>
    <t>Distinct categories touched.</t>
  </si>
  <si>
    <t>Distinct brands touched.</t>
  </si>
  <si>
    <t>Share of events on the single most-frequent brand.</t>
  </si>
  <si>
    <t>Share of events on the single most-frequent category.</t>
  </si>
  <si>
    <t>Mean discount_pct on purchased items only. 0 when the user bought nothing.</t>
  </si>
  <si>
    <t>Mean price of purchased items only. 0 when the user bought nothing.</t>
  </si>
  <si>
    <t>purchase_mean_discount minus mean discount on viewed/clicked events. Positive means discounts convert this user.</t>
  </si>
  <si>
    <t>segment</t>
  </si>
  <si>
    <t>rows in this sample</t>
  </si>
  <si>
    <t>rows in full matrix</t>
  </si>
  <si>
    <t>share of full matrix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</si>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</sst>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&quot;₹&quot;#,##0"/>
    <numFmt numFmtId="166" formatCode="0.0%"/>
  </numFmts>
  <fonts count="6" x14ac:knownFonts="1">
    <font>
      <sz val="11"/>
      <color theme="1"/>
      <name val="Calibri"/>
      <family val="2"/>
      <scheme val="minor"/>
    </font>
    <font>
      <b/>
      <sz val="11"/>
      <name val="Arial"/>
    </font>
    <font>
      <sz val="10"/>
      <name val="Arial"/>
    </font>
    <font>
      <b/>
      <sz val="10"/>
      <name val="Arial"/>
    </font>
    <font>
      <b/>
      <sz val="10"/>
      <color rgb="FFFFFFFF"/>
      <name val="Arial"/>
    </font>
    <font>
      <sz val="9"/>
      <color rgb="FF6B6478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7E6"/>
      </patternFill>
    </fill>
    <fill>
      <patternFill patternType="solid">
        <fgColor rgb="FF1F2937"/>
      </patternFill>
    </fill>
    <fill>
      <patternFill patternType="solid">
        <fgColor rgb="FFEDE9FB"/>
      </patternFill>
    </fill>
  </fills>
  <borders count="3">
    <border>
      <left/>
      <right/>
      <top/>
      <bottom/>
      <diagonal/>
    </border>
    <border>
      <left/>
      <right/>
      <top/>
      <bottom style="thin">
        <color rgb="FFD0CCD8"/>
      </bottom>
      <diagonal/>
    </border>
    <border>
      <left/>
      <right/>
      <top style="thin">
        <color rgb="FFD0CCD8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5" fillId="0" borderId="0" xfId="0" applyFont="1"/>
    <xf numFmtId="0" fontId="3" fillId="4" borderId="0" xfId="0" applyFont="1" applyFill="1"/>
    <xf numFmtId="3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2" fontId="2" fillId="0" borderId="0" xfId="0" applyNumberFormat="1" applyFont="1"/>
    <xf numFmtId="0" fontId="2" fillId="0" borderId="0" xfId="0" applyFont="1" applyAlignment="1">
      <alignment vertical="top" wrapText="1"/>
    </xf>
    <xf numFmtId="0" fontId="2" fillId="0" borderId="0" xfId="0" applyFont="1"/>
    <xf numFmtId="166" fontId="2" fillId="0" borderId="0" xfId="0" applyNumberFormat="1" applyFont="1"/>
    <xf numFmtId="0" fontId="3" fillId="0" borderId="2" xfId="0" applyFont="1" applyBorder="1"/>
    <xf numFmtId="3" fontId="3" fillId="0" borderId="2" xfId="0" applyNumberFormat="1" applyFont="1" applyBorder="1"/>
    <xf numFmtId="166" fontId="3" fillId="0" borderId="2" xfId="0" applyNumberFormat="1" applyFont="1" applyBorder="1"/>
    <xf numFmtId="0" fontId="2" fillId="2" borderId="0" xfId="0" applyFont="1" applyFill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B35C9"/>
  </sheetPr>
  <dimension ref="A1:F40"/>
  <sheetViews>
    <sheetView showGridLines="0" topLeftCell="A16" workbookViewId="0"/>
  </sheetViews>
  <sheetFormatPr defaultRowHeight="14.4" x14ac:dyDescent="0.3"/>
  <cols>
    <col min="1" max="1" width="100" customWidth="1"/>
  </cols>
  <sheetData>
    <row r="1" spans="1:1" x14ac:dyDescent="0.3">
      <c r="A1" s="1" t="s">
        <v>0</v>
      </c>
    </row>
    <row r="2" spans="1:1" x14ac:dyDescent="0.3">
      <c r="A2" s="2"/>
    </row>
    <row r="3" spans="1:1" x14ac:dyDescent="0.3">
      <c r="A3" s="3" t="s">
        <v>1</v>
      </c>
    </row>
    <row r="4" spans="1:1" x14ac:dyDescent="0.3">
      <c r="A4" s="2" t="s">
        <v>2</v>
      </c>
    </row>
    <row r="5" spans="1:1" x14ac:dyDescent="0.3">
      <c r="A5" s="2" t="s">
        <v>3</v>
      </c>
    </row>
    <row r="6" spans="1:1" x14ac:dyDescent="0.3">
      <c r="A6" s="2" t="s">
        <v>4</v>
      </c>
    </row>
    <row r="7" spans="1:1" x14ac:dyDescent="0.3">
      <c r="A7" s="2" t="s">
        <v>5</v>
      </c>
    </row>
    <row r="8" spans="1:1" x14ac:dyDescent="0.3">
      <c r="A8" s="2"/>
    </row>
    <row r="9" spans="1:1" x14ac:dyDescent="0.3">
      <c r="A9" s="3" t="s">
        <v>6</v>
      </c>
    </row>
    <row r="10" spans="1:1" x14ac:dyDescent="0.3">
      <c r="A10" s="2" t="s">
        <v>7</v>
      </c>
    </row>
    <row r="11" spans="1:1" x14ac:dyDescent="0.3">
      <c r="A11" s="2" t="s">
        <v>8</v>
      </c>
    </row>
    <row r="12" spans="1:1" x14ac:dyDescent="0.3">
      <c r="A12" s="2" t="s">
        <v>9</v>
      </c>
    </row>
    <row r="13" spans="1:1" x14ac:dyDescent="0.3">
      <c r="A13" s="2" t="s">
        <v>10</v>
      </c>
    </row>
    <row r="14" spans="1:1" x14ac:dyDescent="0.3">
      <c r="A14" s="2" t="s">
        <v>11</v>
      </c>
    </row>
    <row r="15" spans="1:1" x14ac:dyDescent="0.3">
      <c r="A15" s="2"/>
    </row>
    <row r="16" spans="1:1" x14ac:dyDescent="0.3">
      <c r="A16" s="3" t="s">
        <v>12</v>
      </c>
    </row>
    <row r="17" spans="1:1" x14ac:dyDescent="0.3">
      <c r="A17" s="2" t="s">
        <v>13</v>
      </c>
    </row>
    <row r="18" spans="1:1" x14ac:dyDescent="0.3">
      <c r="A18" s="2" t="s">
        <v>14</v>
      </c>
    </row>
    <row r="19" spans="1:1" x14ac:dyDescent="0.3">
      <c r="A19" s="2" t="s">
        <v>15</v>
      </c>
    </row>
    <row r="20" spans="1:1" x14ac:dyDescent="0.3">
      <c r="A20" s="2"/>
    </row>
    <row r="21" spans="1:1" x14ac:dyDescent="0.3">
      <c r="A21" s="2" t="s">
        <v>16</v>
      </c>
    </row>
    <row r="22" spans="1:1" x14ac:dyDescent="0.3">
      <c r="A22" s="2" t="s">
        <v>17</v>
      </c>
    </row>
    <row r="23" spans="1:1" x14ac:dyDescent="0.3">
      <c r="A23" s="2"/>
    </row>
    <row r="24" spans="1:1" x14ac:dyDescent="0.3">
      <c r="A24" s="3" t="s">
        <v>18</v>
      </c>
    </row>
    <row r="25" spans="1:1" x14ac:dyDescent="0.3">
      <c r="A25" s="2" t="s">
        <v>19</v>
      </c>
    </row>
    <row r="26" spans="1:1" x14ac:dyDescent="0.3">
      <c r="A26" s="2" t="s">
        <v>20</v>
      </c>
    </row>
    <row r="27" spans="1:1" x14ac:dyDescent="0.3">
      <c r="A27" s="2" t="s">
        <v>21</v>
      </c>
    </row>
    <row r="28" spans="1:1" x14ac:dyDescent="0.3">
      <c r="A28" s="2" t="s">
        <v>22</v>
      </c>
    </row>
    <row r="29" spans="1:1" x14ac:dyDescent="0.3">
      <c r="A29" s="2"/>
    </row>
    <row r="30" spans="1:1" x14ac:dyDescent="0.3">
      <c r="A30" s="3" t="s">
        <v>23</v>
      </c>
    </row>
    <row r="31" spans="1:1" x14ac:dyDescent="0.3">
      <c r="A31" s="2" t="s">
        <v>24</v>
      </c>
    </row>
    <row r="32" spans="1:1" x14ac:dyDescent="0.3">
      <c r="A32" s="2" t="s">
        <v>25</v>
      </c>
    </row>
    <row r="33" spans="1:6" x14ac:dyDescent="0.3">
      <c r="A33" s="2" t="s">
        <v>26</v>
      </c>
    </row>
    <row r="34" spans="1:6" x14ac:dyDescent="0.3">
      <c r="A34" s="2"/>
    </row>
    <row r="35" spans="1:6" x14ac:dyDescent="0.3">
      <c r="A35" s="3" t="s">
        <v>27</v>
      </c>
    </row>
    <row r="36" spans="1:6" x14ac:dyDescent="0.3">
      <c r="A36" s="2" t="s">
        <v>28</v>
      </c>
    </row>
    <row r="37" spans="1:6" x14ac:dyDescent="0.3">
      <c r="A37" s="2" t="s">
        <v>29</v>
      </c>
    </row>
    <row r="39" spans="1:6" x14ac:dyDescent="0.3">
      <c r="A39" s="4" t="s">
        <v>30</v>
      </c>
    </row>
    <row r="40" spans="1:6" ht="46.05" customHeight="1" x14ac:dyDescent="0.3">
      <c r="A40" s="18" t="s">
        <v>31</v>
      </c>
      <c r="B40" s="19"/>
      <c r="C40" s="19"/>
      <c r="D40" s="19"/>
      <c r="E40" s="19"/>
      <c r="F40" s="19"/>
    </row>
  </sheetData>
  <mergeCells count="1">
    <mergeCell ref="A40:F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1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A43" sqref="A43:H43"/>
    </sheetView>
  </sheetViews>
  <sheetFormatPr defaultRowHeight="14.4" x14ac:dyDescent="0.3"/>
  <cols>
    <col min="1" max="1" width="38" customWidth="1"/>
    <col min="2" max="2" width="17" customWidth="1"/>
    <col min="3" max="29" width="13" customWidth="1"/>
  </cols>
  <sheetData>
    <row r="1" spans="1:29" ht="34.049999999999997" customHeight="1" x14ac:dyDescent="0.3">
      <c r="A1" s="5" t="s">
        <v>32</v>
      </c>
      <c r="B1" s="5" t="s">
        <v>33</v>
      </c>
      <c r="C1" s="5" t="s">
        <v>34</v>
      </c>
      <c r="D1" s="5" t="s">
        <v>35</v>
      </c>
      <c r="E1" s="5" t="s">
        <v>36</v>
      </c>
      <c r="F1" s="5" t="s">
        <v>37</v>
      </c>
      <c r="G1" s="5" t="s">
        <v>38</v>
      </c>
      <c r="H1" s="5" t="s">
        <v>39</v>
      </c>
      <c r="I1" s="5" t="s">
        <v>40</v>
      </c>
      <c r="J1" s="5" t="s">
        <v>41</v>
      </c>
      <c r="K1" s="5" t="s">
        <v>42</v>
      </c>
      <c r="L1" s="5" t="s">
        <v>43</v>
      </c>
      <c r="M1" s="5" t="s">
        <v>44</v>
      </c>
      <c r="N1" s="5" t="s">
        <v>45</v>
      </c>
      <c r="O1" s="5" t="s">
        <v>46</v>
      </c>
      <c r="P1" s="5" t="s">
        <v>47</v>
      </c>
      <c r="Q1" s="5" t="s">
        <v>48</v>
      </c>
      <c r="R1" s="5" t="s">
        <v>49</v>
      </c>
      <c r="S1" s="5" t="s">
        <v>50</v>
      </c>
      <c r="T1" s="5" t="s">
        <v>51</v>
      </c>
      <c r="U1" s="5" t="s">
        <v>52</v>
      </c>
      <c r="V1" s="5" t="s">
        <v>53</v>
      </c>
      <c r="W1" s="5" t="s">
        <v>54</v>
      </c>
      <c r="X1" s="5" t="s">
        <v>55</v>
      </c>
      <c r="Y1" s="5" t="s">
        <v>56</v>
      </c>
      <c r="Z1" s="5" t="s">
        <v>57</v>
      </c>
      <c r="AA1" s="5" t="s">
        <v>58</v>
      </c>
      <c r="AB1" s="5" t="s">
        <v>59</v>
      </c>
      <c r="AC1" s="5" t="s">
        <v>60</v>
      </c>
    </row>
    <row r="2" spans="1:29" x14ac:dyDescent="0.3">
      <c r="A2" s="6" t="s">
        <v>61</v>
      </c>
      <c r="B2" s="7" t="s">
        <v>62</v>
      </c>
      <c r="C2" s="8">
        <v>56</v>
      </c>
      <c r="D2" s="9">
        <v>0.6428571428571429</v>
      </c>
      <c r="E2" s="9">
        <v>0.125</v>
      </c>
      <c r="F2" s="9">
        <v>3.5714285714285712E-2</v>
      </c>
      <c r="G2" s="9">
        <v>0.14285714285714279</v>
      </c>
      <c r="H2" s="9">
        <v>5.3571428571428568E-2</v>
      </c>
      <c r="I2" s="9">
        <v>0</v>
      </c>
      <c r="J2" s="9">
        <v>0</v>
      </c>
      <c r="K2" s="9">
        <v>0.30357142857142849</v>
      </c>
      <c r="L2" s="9">
        <v>5.3571428571428568E-2</v>
      </c>
      <c r="M2" s="9">
        <v>0</v>
      </c>
      <c r="N2" s="10">
        <v>4013.1071428571431</v>
      </c>
      <c r="O2" s="10">
        <v>2049</v>
      </c>
      <c r="P2" s="10">
        <v>5066.3373095132774</v>
      </c>
      <c r="Q2" s="11">
        <v>18.625</v>
      </c>
      <c r="R2" s="11">
        <v>46</v>
      </c>
      <c r="S2" s="11">
        <v>3.9249999999999998</v>
      </c>
      <c r="T2" s="8">
        <v>1289.875</v>
      </c>
      <c r="U2" s="11">
        <v>4.6428571428571432</v>
      </c>
      <c r="V2" s="8">
        <v>56</v>
      </c>
      <c r="W2" s="8">
        <v>9</v>
      </c>
      <c r="X2" s="8">
        <v>17</v>
      </c>
      <c r="Y2" s="9">
        <v>0.35714285714285721</v>
      </c>
      <c r="Z2" s="9">
        <v>0.2857142857142857</v>
      </c>
      <c r="AA2" s="11">
        <v>7.333333333333333</v>
      </c>
      <c r="AB2" s="10">
        <v>2965.666666666667</v>
      </c>
      <c r="AC2" s="11">
        <v>-11.527131782945739</v>
      </c>
    </row>
    <row r="3" spans="1:29" x14ac:dyDescent="0.3">
      <c r="A3" s="6" t="s">
        <v>63</v>
      </c>
      <c r="B3" s="7" t="s">
        <v>62</v>
      </c>
      <c r="C3" s="8">
        <v>54</v>
      </c>
      <c r="D3" s="9">
        <v>0.55555555555555558</v>
      </c>
      <c r="E3" s="9">
        <v>0.20370370370370369</v>
      </c>
      <c r="F3" s="9">
        <v>7.407407407407407E-2</v>
      </c>
      <c r="G3" s="9">
        <v>7.407407407407407E-2</v>
      </c>
      <c r="H3" s="9">
        <v>3.7037037037037028E-2</v>
      </c>
      <c r="I3" s="9">
        <v>5.5555555555555552E-2</v>
      </c>
      <c r="J3" s="9">
        <v>0</v>
      </c>
      <c r="K3" s="9">
        <v>0.35185185185185192</v>
      </c>
      <c r="L3" s="9">
        <v>3.7037037037037028E-2</v>
      </c>
      <c r="M3" s="9">
        <v>5.5555555555555552E-2</v>
      </c>
      <c r="N3" s="10">
        <v>3392.333333333333</v>
      </c>
      <c r="O3" s="10">
        <v>1599</v>
      </c>
      <c r="P3" s="10">
        <v>4078.4287577540781</v>
      </c>
      <c r="Q3" s="11">
        <v>16.222222222222221</v>
      </c>
      <c r="R3" s="11">
        <v>40</v>
      </c>
      <c r="S3" s="11">
        <v>3.916666666666667</v>
      </c>
      <c r="T3" s="8">
        <v>867.87037037037032</v>
      </c>
      <c r="U3" s="11">
        <v>4.7592592592592604</v>
      </c>
      <c r="V3" s="8">
        <v>52</v>
      </c>
      <c r="W3" s="8">
        <v>8</v>
      </c>
      <c r="X3" s="8">
        <v>15</v>
      </c>
      <c r="Y3" s="9">
        <v>0.22222222222222221</v>
      </c>
      <c r="Z3" s="9">
        <v>0.33333333333333331</v>
      </c>
      <c r="AA3" s="11">
        <v>29.5</v>
      </c>
      <c r="AB3" s="10">
        <v>444</v>
      </c>
      <c r="AC3" s="11">
        <v>13.987804878048779</v>
      </c>
    </row>
    <row r="4" spans="1:29" x14ac:dyDescent="0.3">
      <c r="A4" s="6" t="s">
        <v>64</v>
      </c>
      <c r="B4" s="7" t="s">
        <v>62</v>
      </c>
      <c r="C4" s="8">
        <v>54</v>
      </c>
      <c r="D4" s="9">
        <v>0.48148148148148151</v>
      </c>
      <c r="E4" s="9">
        <v>0.25925925925925919</v>
      </c>
      <c r="F4" s="9">
        <v>7.407407407407407E-2</v>
      </c>
      <c r="G4" s="9">
        <v>9.2592592592592587E-2</v>
      </c>
      <c r="H4" s="9">
        <v>3.7037037037037028E-2</v>
      </c>
      <c r="I4" s="9">
        <v>3.7037037037037028E-2</v>
      </c>
      <c r="J4" s="9">
        <v>1.8518518518518521E-2</v>
      </c>
      <c r="K4" s="9">
        <v>0.42592592592592587</v>
      </c>
      <c r="L4" s="9">
        <v>3.7037037037037028E-2</v>
      </c>
      <c r="M4" s="9">
        <v>5.5555555555555552E-2</v>
      </c>
      <c r="N4" s="10">
        <v>5488.6296296296296</v>
      </c>
      <c r="O4" s="10">
        <v>2549</v>
      </c>
      <c r="P4" s="10">
        <v>10329.791859482821</v>
      </c>
      <c r="Q4" s="11">
        <v>18.962962962962958</v>
      </c>
      <c r="R4" s="11">
        <v>43</v>
      </c>
      <c r="S4" s="11">
        <v>3.8648148148148151</v>
      </c>
      <c r="T4" s="8">
        <v>1045.62962962963</v>
      </c>
      <c r="U4" s="11">
        <v>4.6481481481481479</v>
      </c>
      <c r="V4" s="8">
        <v>53</v>
      </c>
      <c r="W4" s="8">
        <v>11</v>
      </c>
      <c r="X4" s="8">
        <v>22</v>
      </c>
      <c r="Y4" s="9">
        <v>0.12962962962962959</v>
      </c>
      <c r="Z4" s="9">
        <v>0.31481481481481483</v>
      </c>
      <c r="AA4" s="11">
        <v>5</v>
      </c>
      <c r="AB4" s="10">
        <v>1199</v>
      </c>
      <c r="AC4" s="11">
        <v>-13.05</v>
      </c>
    </row>
    <row r="5" spans="1:29" x14ac:dyDescent="0.3">
      <c r="A5" s="6" t="s">
        <v>65</v>
      </c>
      <c r="B5" s="7" t="s">
        <v>62</v>
      </c>
      <c r="C5" s="8">
        <v>52</v>
      </c>
      <c r="D5" s="9">
        <v>0.5</v>
      </c>
      <c r="E5" s="9">
        <v>0.28846153846153838</v>
      </c>
      <c r="F5" s="9">
        <v>5.7692307692307702E-2</v>
      </c>
      <c r="G5" s="9">
        <v>5.7692307692307702E-2</v>
      </c>
      <c r="H5" s="9">
        <v>7.6923076923076927E-2</v>
      </c>
      <c r="I5" s="9">
        <v>1.9230769230769228E-2</v>
      </c>
      <c r="J5" s="9">
        <v>0</v>
      </c>
      <c r="K5" s="9">
        <v>0.40384615384615391</v>
      </c>
      <c r="L5" s="9">
        <v>7.6923076923076927E-2</v>
      </c>
      <c r="M5" s="9">
        <v>1.9230769230769228E-2</v>
      </c>
      <c r="N5" s="10">
        <v>2486.1153846153852</v>
      </c>
      <c r="O5" s="10">
        <v>1749</v>
      </c>
      <c r="P5" s="10">
        <v>3204.060130484238</v>
      </c>
      <c r="Q5" s="11">
        <v>19.92307692307692</v>
      </c>
      <c r="R5" s="11">
        <v>44</v>
      </c>
      <c r="S5" s="11">
        <v>3.95576923076923</v>
      </c>
      <c r="T5" s="8">
        <v>1077.6923076923081</v>
      </c>
      <c r="U5" s="11">
        <v>4.4230769230769234</v>
      </c>
      <c r="V5" s="8">
        <v>49</v>
      </c>
      <c r="W5" s="8">
        <v>13</v>
      </c>
      <c r="X5" s="8">
        <v>15</v>
      </c>
      <c r="Y5" s="9">
        <v>0.13461538461538461</v>
      </c>
      <c r="Z5" s="9">
        <v>0.28846153846153838</v>
      </c>
      <c r="AA5" s="11">
        <v>15.75</v>
      </c>
      <c r="AB5" s="10">
        <v>2649</v>
      </c>
      <c r="AC5" s="11">
        <v>-4.5426829268292694</v>
      </c>
    </row>
    <row r="6" spans="1:29" x14ac:dyDescent="0.3">
      <c r="A6" s="6" t="s">
        <v>66</v>
      </c>
      <c r="B6" s="7" t="s">
        <v>62</v>
      </c>
      <c r="C6" s="8">
        <v>51</v>
      </c>
      <c r="D6" s="9">
        <v>0.52941176470588236</v>
      </c>
      <c r="E6" s="9">
        <v>0.25490196078431371</v>
      </c>
      <c r="F6" s="9">
        <v>7.8431372549019607E-2</v>
      </c>
      <c r="G6" s="9">
        <v>7.8431372549019607E-2</v>
      </c>
      <c r="H6" s="9">
        <v>3.9215686274509803E-2</v>
      </c>
      <c r="I6" s="9">
        <v>1.9607843137254902E-2</v>
      </c>
      <c r="J6" s="9">
        <v>0</v>
      </c>
      <c r="K6" s="9">
        <v>0.41176470588235292</v>
      </c>
      <c r="L6" s="9">
        <v>3.9215686274509803E-2</v>
      </c>
      <c r="M6" s="9">
        <v>1.9607843137254902E-2</v>
      </c>
      <c r="N6" s="10">
        <v>4052.1372549019611</v>
      </c>
      <c r="O6" s="10">
        <v>1999</v>
      </c>
      <c r="P6" s="10">
        <v>4884.5599556955294</v>
      </c>
      <c r="Q6" s="11">
        <v>15.82352941176471</v>
      </c>
      <c r="R6" s="11">
        <v>42</v>
      </c>
      <c r="S6" s="11">
        <v>3.821568627450981</v>
      </c>
      <c r="T6" s="8">
        <v>1213.098039215686</v>
      </c>
      <c r="U6" s="11">
        <v>4.4509803921568629</v>
      </c>
      <c r="V6" s="8">
        <v>47</v>
      </c>
      <c r="W6" s="8">
        <v>11</v>
      </c>
      <c r="X6" s="8">
        <v>19</v>
      </c>
      <c r="Y6" s="9">
        <v>0.2156862745098039</v>
      </c>
      <c r="Z6" s="9">
        <v>0.31372549019607843</v>
      </c>
      <c r="AA6" s="11">
        <v>17.5</v>
      </c>
      <c r="AB6" s="10">
        <v>6549</v>
      </c>
      <c r="AC6" s="11">
        <v>1.5</v>
      </c>
    </row>
    <row r="7" spans="1:29" x14ac:dyDescent="0.3">
      <c r="A7" s="6" t="s">
        <v>67</v>
      </c>
      <c r="B7" s="7" t="s">
        <v>62</v>
      </c>
      <c r="C7" s="8">
        <v>57</v>
      </c>
      <c r="D7" s="9">
        <v>0.56140350877192979</v>
      </c>
      <c r="E7" s="9">
        <v>0.17543859649122809</v>
      </c>
      <c r="F7" s="9">
        <v>0.10526315789473679</v>
      </c>
      <c r="G7" s="9">
        <v>8.771929824561403E-2</v>
      </c>
      <c r="H7" s="9">
        <v>3.5087719298245612E-2</v>
      </c>
      <c r="I7" s="9">
        <v>3.5087719298245612E-2</v>
      </c>
      <c r="J7" s="9">
        <v>0</v>
      </c>
      <c r="K7" s="9">
        <v>0.36842105263157893</v>
      </c>
      <c r="L7" s="9">
        <v>3.5087719298245612E-2</v>
      </c>
      <c r="M7" s="9">
        <v>3.5087719298245612E-2</v>
      </c>
      <c r="N7" s="10">
        <v>4740.9298245614036</v>
      </c>
      <c r="O7" s="10">
        <v>2099</v>
      </c>
      <c r="P7" s="10">
        <v>9889.4119857329697</v>
      </c>
      <c r="Q7" s="11">
        <v>14.228070175438599</v>
      </c>
      <c r="R7" s="11">
        <v>45</v>
      </c>
      <c r="S7" s="11">
        <v>3.859649122807018</v>
      </c>
      <c r="T7" s="8">
        <v>1302.4561403508769</v>
      </c>
      <c r="U7" s="11">
        <v>5.0877192982456139</v>
      </c>
      <c r="V7" s="8">
        <v>55</v>
      </c>
      <c r="W7" s="8">
        <v>8</v>
      </c>
      <c r="X7" s="8">
        <v>19</v>
      </c>
      <c r="Y7" s="9">
        <v>0.19298245614035089</v>
      </c>
      <c r="Z7" s="9">
        <v>0.2982456140350877</v>
      </c>
      <c r="AA7" s="11">
        <v>12.5</v>
      </c>
      <c r="AB7" s="10">
        <v>1349</v>
      </c>
      <c r="AC7" s="11">
        <v>-2.3333333333333339</v>
      </c>
    </row>
    <row r="8" spans="1:29" x14ac:dyDescent="0.3">
      <c r="A8" s="6" t="s">
        <v>68</v>
      </c>
      <c r="B8" s="7" t="s">
        <v>62</v>
      </c>
      <c r="C8" s="8">
        <v>46</v>
      </c>
      <c r="D8" s="9">
        <v>0.52173913043478259</v>
      </c>
      <c r="E8" s="9">
        <v>0.19565217391304349</v>
      </c>
      <c r="F8" s="9">
        <v>6.5217391304347824E-2</v>
      </c>
      <c r="G8" s="9">
        <v>0.108695652173913</v>
      </c>
      <c r="H8" s="9">
        <v>6.5217391304347824E-2</v>
      </c>
      <c r="I8" s="9">
        <v>2.1739130434782612E-2</v>
      </c>
      <c r="J8" s="9">
        <v>2.1739130434782612E-2</v>
      </c>
      <c r="K8" s="9">
        <v>0.36956521739130432</v>
      </c>
      <c r="L8" s="9">
        <v>6.5217391304347824E-2</v>
      </c>
      <c r="M8" s="9">
        <v>4.3478260869565223E-2</v>
      </c>
      <c r="N8" s="10">
        <v>4300.739130434783</v>
      </c>
      <c r="O8" s="10">
        <v>1599</v>
      </c>
      <c r="P8" s="10">
        <v>6781.2418739237573</v>
      </c>
      <c r="Q8" s="11">
        <v>17.15217391304348</v>
      </c>
      <c r="R8" s="11">
        <v>48</v>
      </c>
      <c r="S8" s="11">
        <v>3.9086956521739129</v>
      </c>
      <c r="T8" s="8">
        <v>1304.45652173913</v>
      </c>
      <c r="U8" s="11">
        <v>5.5</v>
      </c>
      <c r="V8" s="8">
        <v>45</v>
      </c>
      <c r="W8" s="8">
        <v>10</v>
      </c>
      <c r="X8" s="8">
        <v>17</v>
      </c>
      <c r="Y8" s="9">
        <v>0.19565217391304349</v>
      </c>
      <c r="Z8" s="9">
        <v>0.39130434782608697</v>
      </c>
      <c r="AA8" s="11">
        <v>11.66666666666667</v>
      </c>
      <c r="AB8" s="10">
        <v>3899</v>
      </c>
      <c r="AC8" s="11">
        <v>-6.7272727272727284</v>
      </c>
    </row>
    <row r="9" spans="1:29" x14ac:dyDescent="0.3">
      <c r="A9" s="6" t="s">
        <v>69</v>
      </c>
      <c r="B9" s="7" t="s">
        <v>62</v>
      </c>
      <c r="C9" s="8">
        <v>49</v>
      </c>
      <c r="D9" s="9">
        <v>0.42857142857142849</v>
      </c>
      <c r="E9" s="9">
        <v>0.34693877551020408</v>
      </c>
      <c r="F9" s="9">
        <v>0.1020408163265306</v>
      </c>
      <c r="G9" s="9">
        <v>0.1020408163265306</v>
      </c>
      <c r="H9" s="9">
        <v>2.0408163265306121E-2</v>
      </c>
      <c r="I9" s="9">
        <v>0</v>
      </c>
      <c r="J9" s="9">
        <v>0</v>
      </c>
      <c r="K9" s="9">
        <v>0.55102040816326525</v>
      </c>
      <c r="L9" s="9">
        <v>2.0408163265306121E-2</v>
      </c>
      <c r="M9" s="9">
        <v>0</v>
      </c>
      <c r="N9" s="10">
        <v>5202.2653061224491</v>
      </c>
      <c r="O9" s="10">
        <v>1899</v>
      </c>
      <c r="P9" s="10">
        <v>8374.182892416804</v>
      </c>
      <c r="Q9" s="11">
        <v>20.91836734693878</v>
      </c>
      <c r="R9" s="11">
        <v>45</v>
      </c>
      <c r="S9" s="11">
        <v>3.9612244897959181</v>
      </c>
      <c r="T9" s="8">
        <v>1165.714285714286</v>
      </c>
      <c r="U9" s="11">
        <v>4.9591836734693882</v>
      </c>
      <c r="V9" s="8">
        <v>49</v>
      </c>
      <c r="W9" s="8">
        <v>10</v>
      </c>
      <c r="X9" s="8">
        <v>17</v>
      </c>
      <c r="Y9" s="9">
        <v>0.16326530612244899</v>
      </c>
      <c r="Z9" s="9">
        <v>0.32653061224489788</v>
      </c>
      <c r="AA9" s="11">
        <v>33</v>
      </c>
      <c r="AB9" s="10">
        <v>599</v>
      </c>
      <c r="AC9" s="11">
        <v>10.789473684210529</v>
      </c>
    </row>
    <row r="10" spans="1:29" x14ac:dyDescent="0.3">
      <c r="A10" s="6" t="s">
        <v>70</v>
      </c>
      <c r="B10" s="7" t="s">
        <v>62</v>
      </c>
      <c r="C10" s="8">
        <v>59</v>
      </c>
      <c r="D10" s="9">
        <v>0.5423728813559322</v>
      </c>
      <c r="E10" s="9">
        <v>0.20338983050847459</v>
      </c>
      <c r="F10" s="9">
        <v>0.15254237288135589</v>
      </c>
      <c r="G10" s="9">
        <v>3.3898305084745763E-2</v>
      </c>
      <c r="H10" s="9">
        <v>3.3898305084745763E-2</v>
      </c>
      <c r="I10" s="9">
        <v>3.3898305084745763E-2</v>
      </c>
      <c r="J10" s="9">
        <v>0</v>
      </c>
      <c r="K10" s="9">
        <v>0.38983050847457629</v>
      </c>
      <c r="L10" s="9">
        <v>3.3898305084745763E-2</v>
      </c>
      <c r="M10" s="9">
        <v>3.3898305084745763E-2</v>
      </c>
      <c r="N10" s="10">
        <v>4635.7796610169489</v>
      </c>
      <c r="O10" s="10">
        <v>2599</v>
      </c>
      <c r="P10" s="10">
        <v>6085.5964603479824</v>
      </c>
      <c r="Q10" s="11">
        <v>16.389830508474581</v>
      </c>
      <c r="R10" s="11">
        <v>45</v>
      </c>
      <c r="S10" s="11">
        <v>3.9237288135593218</v>
      </c>
      <c r="T10" s="8">
        <v>953.49152542372883</v>
      </c>
      <c r="U10" s="11">
        <v>4.6610169491525424</v>
      </c>
      <c r="V10" s="8">
        <v>55</v>
      </c>
      <c r="W10" s="8">
        <v>13</v>
      </c>
      <c r="X10" s="8">
        <v>13</v>
      </c>
      <c r="Y10" s="9">
        <v>0.25423728813559321</v>
      </c>
      <c r="Z10" s="9">
        <v>0.2711864406779661</v>
      </c>
      <c r="AA10" s="11">
        <v>17</v>
      </c>
      <c r="AB10" s="10">
        <v>2149</v>
      </c>
      <c r="AC10" s="11">
        <v>1.5681818181818179</v>
      </c>
    </row>
    <row r="11" spans="1:29" x14ac:dyDescent="0.3">
      <c r="A11" s="6" t="s">
        <v>71</v>
      </c>
      <c r="B11" s="7" t="s">
        <v>62</v>
      </c>
      <c r="C11" s="8">
        <v>56</v>
      </c>
      <c r="D11" s="9">
        <v>0.44642857142857151</v>
      </c>
      <c r="E11" s="9">
        <v>0.1964285714285714</v>
      </c>
      <c r="F11" s="9">
        <v>0.1964285714285714</v>
      </c>
      <c r="G11" s="9">
        <v>5.3571428571428568E-2</v>
      </c>
      <c r="H11" s="9">
        <v>7.1428571428571425E-2</v>
      </c>
      <c r="I11" s="9">
        <v>0</v>
      </c>
      <c r="J11" s="9">
        <v>3.5714285714285712E-2</v>
      </c>
      <c r="K11" s="9">
        <v>0.44642857142857151</v>
      </c>
      <c r="L11" s="9">
        <v>7.1428571428571425E-2</v>
      </c>
      <c r="M11" s="9">
        <v>3.5714285714285712E-2</v>
      </c>
      <c r="N11" s="10">
        <v>3894.7142857142858</v>
      </c>
      <c r="O11" s="10">
        <v>2149</v>
      </c>
      <c r="P11" s="10">
        <v>4679.2702838808518</v>
      </c>
      <c r="Q11" s="11">
        <v>17.25</v>
      </c>
      <c r="R11" s="11">
        <v>46</v>
      </c>
      <c r="S11" s="11">
        <v>3.9160714285714291</v>
      </c>
      <c r="T11" s="8">
        <v>1109.089285714286</v>
      </c>
      <c r="U11" s="11">
        <v>5.0357142857142856</v>
      </c>
      <c r="V11" s="8">
        <v>54</v>
      </c>
      <c r="W11" s="8">
        <v>10</v>
      </c>
      <c r="X11" s="8">
        <v>14</v>
      </c>
      <c r="Y11" s="9">
        <v>0.32142857142857151</v>
      </c>
      <c r="Z11" s="9">
        <v>0.32142857142857151</v>
      </c>
      <c r="AA11" s="11">
        <v>18</v>
      </c>
      <c r="AB11" s="10">
        <v>3124</v>
      </c>
      <c r="AC11" s="11">
        <v>2.1388888888888888</v>
      </c>
    </row>
    <row r="12" spans="1:29" x14ac:dyDescent="0.3">
      <c r="A12" s="6" t="s">
        <v>72</v>
      </c>
      <c r="B12" s="7" t="s">
        <v>73</v>
      </c>
      <c r="C12" s="8">
        <v>49</v>
      </c>
      <c r="D12" s="9">
        <v>0.46938775510204078</v>
      </c>
      <c r="E12" s="9">
        <v>0.30612244897959179</v>
      </c>
      <c r="F12" s="9">
        <v>6.1224489795918373E-2</v>
      </c>
      <c r="G12" s="9">
        <v>8.1632653061224483E-2</v>
      </c>
      <c r="H12" s="9">
        <v>8.1632653061224483E-2</v>
      </c>
      <c r="I12" s="9">
        <v>0</v>
      </c>
      <c r="J12" s="9">
        <v>0</v>
      </c>
      <c r="K12" s="9">
        <v>0.44897959183673469</v>
      </c>
      <c r="L12" s="9">
        <v>8.1632653061224483E-2</v>
      </c>
      <c r="M12" s="9">
        <v>0</v>
      </c>
      <c r="N12" s="10">
        <v>8265.5306122448983</v>
      </c>
      <c r="O12" s="10">
        <v>2299</v>
      </c>
      <c r="P12" s="10">
        <v>19482.283142963119</v>
      </c>
      <c r="Q12" s="11">
        <v>28.08163265306122</v>
      </c>
      <c r="R12" s="11">
        <v>47</v>
      </c>
      <c r="S12" s="11">
        <v>3.7673469387755101</v>
      </c>
      <c r="T12" s="8">
        <v>1232.122448979592</v>
      </c>
      <c r="U12" s="11">
        <v>5.4285714285714288</v>
      </c>
      <c r="V12" s="8">
        <v>47</v>
      </c>
      <c r="W12" s="8">
        <v>11</v>
      </c>
      <c r="X12" s="8">
        <v>24</v>
      </c>
      <c r="Y12" s="9">
        <v>0.1020408163265306</v>
      </c>
      <c r="Z12" s="9">
        <v>0.30612244897959179</v>
      </c>
      <c r="AA12" s="11">
        <v>32.75</v>
      </c>
      <c r="AB12" s="10">
        <v>8099</v>
      </c>
      <c r="AC12" s="11">
        <v>4.9078947368421062</v>
      </c>
    </row>
    <row r="13" spans="1:29" x14ac:dyDescent="0.3">
      <c r="A13" s="6" t="s">
        <v>74</v>
      </c>
      <c r="B13" s="7" t="s">
        <v>73</v>
      </c>
      <c r="C13" s="8">
        <v>66</v>
      </c>
      <c r="D13" s="9">
        <v>0.45454545454545447</v>
      </c>
      <c r="E13" s="9">
        <v>0.27272727272727271</v>
      </c>
      <c r="F13" s="9">
        <v>0.10606060606060611</v>
      </c>
      <c r="G13" s="9">
        <v>6.0606060606060608E-2</v>
      </c>
      <c r="H13" s="9">
        <v>7.575757575757576E-2</v>
      </c>
      <c r="I13" s="9">
        <v>3.03030303030303E-2</v>
      </c>
      <c r="J13" s="9">
        <v>0</v>
      </c>
      <c r="K13" s="9">
        <v>0.43939393939393939</v>
      </c>
      <c r="L13" s="9">
        <v>7.575757575757576E-2</v>
      </c>
      <c r="M13" s="9">
        <v>3.03030303030303E-2</v>
      </c>
      <c r="N13" s="10">
        <v>3143.393939393939</v>
      </c>
      <c r="O13" s="10">
        <v>1449</v>
      </c>
      <c r="P13" s="10">
        <v>4201.1639884452088</v>
      </c>
      <c r="Q13" s="11">
        <v>26.5</v>
      </c>
      <c r="R13" s="11">
        <v>46</v>
      </c>
      <c r="S13" s="11">
        <v>3.836363636363636</v>
      </c>
      <c r="T13" s="8">
        <v>1117.909090909091</v>
      </c>
      <c r="U13" s="11">
        <v>4.4393939393939386</v>
      </c>
      <c r="V13" s="8">
        <v>63</v>
      </c>
      <c r="W13" s="8">
        <v>11</v>
      </c>
      <c r="X13" s="8">
        <v>19</v>
      </c>
      <c r="Y13" s="9">
        <v>0.10606060606060611</v>
      </c>
      <c r="Z13" s="9">
        <v>0.31818181818181818</v>
      </c>
      <c r="AA13" s="11">
        <v>29</v>
      </c>
      <c r="AB13" s="10">
        <v>1315</v>
      </c>
      <c r="AC13" s="11">
        <v>1.7708333333333319</v>
      </c>
    </row>
    <row r="14" spans="1:29" x14ac:dyDescent="0.3">
      <c r="A14" s="6" t="s">
        <v>75</v>
      </c>
      <c r="B14" s="7" t="s">
        <v>73</v>
      </c>
      <c r="C14" s="8">
        <v>61</v>
      </c>
      <c r="D14" s="9">
        <v>0.47540983606557369</v>
      </c>
      <c r="E14" s="9">
        <v>0.26229508196721307</v>
      </c>
      <c r="F14" s="9">
        <v>8.1967213114754092E-2</v>
      </c>
      <c r="G14" s="9">
        <v>0.1147540983606557</v>
      </c>
      <c r="H14" s="9">
        <v>3.2786885245901641E-2</v>
      </c>
      <c r="I14" s="9">
        <v>1.6393442622950821E-2</v>
      </c>
      <c r="J14" s="9">
        <v>1.6393442622950821E-2</v>
      </c>
      <c r="K14" s="9">
        <v>0.45901639344262302</v>
      </c>
      <c r="L14" s="9">
        <v>3.2786885245901641E-2</v>
      </c>
      <c r="M14" s="9">
        <v>3.2786885245901641E-2</v>
      </c>
      <c r="N14" s="10">
        <v>4324.7377049180332</v>
      </c>
      <c r="O14" s="10">
        <v>2599</v>
      </c>
      <c r="P14" s="10">
        <v>5430.4095790945012</v>
      </c>
      <c r="Q14" s="11">
        <v>25.983606557377051</v>
      </c>
      <c r="R14" s="11">
        <v>47</v>
      </c>
      <c r="S14" s="11">
        <v>3.8836065573770489</v>
      </c>
      <c r="T14" s="8">
        <v>1061.4918032786891</v>
      </c>
      <c r="U14" s="11">
        <v>4.9508196721311473</v>
      </c>
      <c r="V14" s="8">
        <v>59</v>
      </c>
      <c r="W14" s="8">
        <v>12</v>
      </c>
      <c r="X14" s="8">
        <v>19</v>
      </c>
      <c r="Y14" s="9">
        <v>9.8360655737704916E-2</v>
      </c>
      <c r="Z14" s="9">
        <v>0.31147540983606559</v>
      </c>
      <c r="AA14" s="11">
        <v>31.5</v>
      </c>
      <c r="AB14" s="10">
        <v>3799</v>
      </c>
      <c r="AC14" s="11">
        <v>5.8333333333333321</v>
      </c>
    </row>
    <row r="15" spans="1:29" x14ac:dyDescent="0.3">
      <c r="A15" s="6" t="s">
        <v>76</v>
      </c>
      <c r="B15" s="7" t="s">
        <v>73</v>
      </c>
      <c r="C15" s="8">
        <v>63</v>
      </c>
      <c r="D15" s="9">
        <v>0.47619047619047622</v>
      </c>
      <c r="E15" s="9">
        <v>0.22222222222222221</v>
      </c>
      <c r="F15" s="9">
        <v>6.3492063492063489E-2</v>
      </c>
      <c r="G15" s="9">
        <v>4.7619047619047623E-2</v>
      </c>
      <c r="H15" s="9">
        <v>0.126984126984127</v>
      </c>
      <c r="I15" s="9">
        <v>4.7619047619047623E-2</v>
      </c>
      <c r="J15" s="9">
        <v>1.5873015873015869E-2</v>
      </c>
      <c r="K15" s="9">
        <v>0.33333333333333331</v>
      </c>
      <c r="L15" s="9">
        <v>0.126984126984127</v>
      </c>
      <c r="M15" s="9">
        <v>6.3492063492063489E-2</v>
      </c>
      <c r="N15" s="10">
        <v>1911.5396825396831</v>
      </c>
      <c r="O15" s="10">
        <v>1199</v>
      </c>
      <c r="P15" s="10">
        <v>1829.5098658401239</v>
      </c>
      <c r="Q15" s="11">
        <v>24.222222222222221</v>
      </c>
      <c r="R15" s="11">
        <v>45</v>
      </c>
      <c r="S15" s="11">
        <v>3.8952380952380952</v>
      </c>
      <c r="T15" s="8">
        <v>1215.0793650793651</v>
      </c>
      <c r="U15" s="11">
        <v>4.6825396825396828</v>
      </c>
      <c r="V15" s="8">
        <v>55</v>
      </c>
      <c r="W15" s="8">
        <v>13</v>
      </c>
      <c r="X15" s="8">
        <v>20</v>
      </c>
      <c r="Y15" s="9">
        <v>0.1111111111111111</v>
      </c>
      <c r="Z15" s="9">
        <v>0.2857142857142857</v>
      </c>
      <c r="AA15" s="11">
        <v>35.625</v>
      </c>
      <c r="AB15" s="10">
        <v>1562.75</v>
      </c>
      <c r="AC15" s="11">
        <v>14.82954545454545</v>
      </c>
    </row>
    <row r="16" spans="1:29" x14ac:dyDescent="0.3">
      <c r="A16" s="6" t="s">
        <v>77</v>
      </c>
      <c r="B16" s="7" t="s">
        <v>73</v>
      </c>
      <c r="C16" s="8">
        <v>52</v>
      </c>
      <c r="D16" s="9">
        <v>0.48076923076923078</v>
      </c>
      <c r="E16" s="9">
        <v>0.25</v>
      </c>
      <c r="F16" s="9">
        <v>0.1153846153846154</v>
      </c>
      <c r="G16" s="9">
        <v>9.6153846153846159E-2</v>
      </c>
      <c r="H16" s="9">
        <v>3.8461538461538457E-2</v>
      </c>
      <c r="I16" s="9">
        <v>0</v>
      </c>
      <c r="J16" s="9">
        <v>1.9230769230769228E-2</v>
      </c>
      <c r="K16" s="9">
        <v>0.46153846153846162</v>
      </c>
      <c r="L16" s="9">
        <v>3.8461538461538457E-2</v>
      </c>
      <c r="M16" s="9">
        <v>1.9230769230769228E-2</v>
      </c>
      <c r="N16" s="10">
        <v>2548.6153846153852</v>
      </c>
      <c r="O16" s="10">
        <v>1599</v>
      </c>
      <c r="P16" s="10">
        <v>2601.4075839433331</v>
      </c>
      <c r="Q16" s="11">
        <v>26.94230769230769</v>
      </c>
      <c r="R16" s="11">
        <v>47</v>
      </c>
      <c r="S16" s="11">
        <v>3.907692307692308</v>
      </c>
      <c r="T16" s="8">
        <v>1237.153846153846</v>
      </c>
      <c r="U16" s="11">
        <v>4.1730769230769234</v>
      </c>
      <c r="V16" s="8">
        <v>48</v>
      </c>
      <c r="W16" s="8">
        <v>9</v>
      </c>
      <c r="X16" s="8">
        <v>19</v>
      </c>
      <c r="Y16" s="9">
        <v>0.15384615384615391</v>
      </c>
      <c r="Z16" s="9">
        <v>0.36538461538461542</v>
      </c>
      <c r="AA16" s="11">
        <v>37</v>
      </c>
      <c r="AB16" s="10">
        <v>1299</v>
      </c>
      <c r="AC16" s="11">
        <v>11.02631578947368</v>
      </c>
    </row>
    <row r="17" spans="1:29" x14ac:dyDescent="0.3">
      <c r="A17" s="6" t="s">
        <v>78</v>
      </c>
      <c r="B17" s="7" t="s">
        <v>73</v>
      </c>
      <c r="C17" s="8">
        <v>57</v>
      </c>
      <c r="D17" s="9">
        <v>0.49122807017543862</v>
      </c>
      <c r="E17" s="9">
        <v>0.24561403508771931</v>
      </c>
      <c r="F17" s="9">
        <v>0.10526315789473679</v>
      </c>
      <c r="G17" s="9">
        <v>8.771929824561403E-2</v>
      </c>
      <c r="H17" s="9">
        <v>5.2631578947368418E-2</v>
      </c>
      <c r="I17" s="9">
        <v>0</v>
      </c>
      <c r="J17" s="9">
        <v>1.754385964912281E-2</v>
      </c>
      <c r="K17" s="9">
        <v>0.43859649122807021</v>
      </c>
      <c r="L17" s="9">
        <v>5.2631578947368418E-2</v>
      </c>
      <c r="M17" s="9">
        <v>1.754385964912281E-2</v>
      </c>
      <c r="N17" s="10">
        <v>3505.8421052631579</v>
      </c>
      <c r="O17" s="10">
        <v>1499</v>
      </c>
      <c r="P17" s="10">
        <v>6644.2300848971681</v>
      </c>
      <c r="Q17" s="11">
        <v>28.719298245614031</v>
      </c>
      <c r="R17" s="11">
        <v>47</v>
      </c>
      <c r="S17" s="11">
        <v>3.8649122807017551</v>
      </c>
      <c r="T17" s="8">
        <v>1279.9298245614041</v>
      </c>
      <c r="U17" s="11">
        <v>4.4912280701754383</v>
      </c>
      <c r="V17" s="8">
        <v>53</v>
      </c>
      <c r="W17" s="8">
        <v>11</v>
      </c>
      <c r="X17" s="8">
        <v>19</v>
      </c>
      <c r="Y17" s="9">
        <v>0.10526315789473679</v>
      </c>
      <c r="Z17" s="9">
        <v>0.35087719298245612</v>
      </c>
      <c r="AA17" s="11">
        <v>32.333333333333343</v>
      </c>
      <c r="AB17" s="10">
        <v>2732.333333333333</v>
      </c>
      <c r="AC17" s="11">
        <v>5.1428571428571459</v>
      </c>
    </row>
    <row r="18" spans="1:29" x14ac:dyDescent="0.3">
      <c r="A18" s="6" t="s">
        <v>79</v>
      </c>
      <c r="B18" s="7" t="s">
        <v>73</v>
      </c>
      <c r="C18" s="8">
        <v>53</v>
      </c>
      <c r="D18" s="9">
        <v>0.52830188679245282</v>
      </c>
      <c r="E18" s="9">
        <v>0.20754716981132079</v>
      </c>
      <c r="F18" s="9">
        <v>9.4339622641509441E-2</v>
      </c>
      <c r="G18" s="9">
        <v>0.1132075471698113</v>
      </c>
      <c r="H18" s="9">
        <v>3.7735849056603772E-2</v>
      </c>
      <c r="I18" s="9">
        <v>1.886792452830189E-2</v>
      </c>
      <c r="J18" s="9">
        <v>0</v>
      </c>
      <c r="K18" s="9">
        <v>0.41509433962264147</v>
      </c>
      <c r="L18" s="9">
        <v>3.7735849056603772E-2</v>
      </c>
      <c r="M18" s="9">
        <v>1.886792452830189E-2</v>
      </c>
      <c r="N18" s="10">
        <v>7525.6037735849059</v>
      </c>
      <c r="O18" s="10">
        <v>2099</v>
      </c>
      <c r="P18" s="10">
        <v>19560.28717574662</v>
      </c>
      <c r="Q18" s="11">
        <v>28.283018867924529</v>
      </c>
      <c r="R18" s="11">
        <v>47</v>
      </c>
      <c r="S18" s="11">
        <v>3.8754716981132078</v>
      </c>
      <c r="T18" s="8">
        <v>909.39622641509436</v>
      </c>
      <c r="U18" s="11">
        <v>5.5849056603773581</v>
      </c>
      <c r="V18" s="8">
        <v>49</v>
      </c>
      <c r="W18" s="8">
        <v>12</v>
      </c>
      <c r="X18" s="8">
        <v>21</v>
      </c>
      <c r="Y18" s="9">
        <v>0.1132075471698113</v>
      </c>
      <c r="Z18" s="9">
        <v>0.32075471698113212</v>
      </c>
      <c r="AA18" s="11">
        <v>39</v>
      </c>
      <c r="AB18" s="10">
        <v>59799</v>
      </c>
      <c r="AC18" s="11">
        <v>12.15384615384615</v>
      </c>
    </row>
    <row r="19" spans="1:29" x14ac:dyDescent="0.3">
      <c r="A19" s="6" t="s">
        <v>80</v>
      </c>
      <c r="B19" s="7" t="s">
        <v>73</v>
      </c>
      <c r="C19" s="8">
        <v>61</v>
      </c>
      <c r="D19" s="9">
        <v>0.50819672131147542</v>
      </c>
      <c r="E19" s="9">
        <v>0.1967213114754098</v>
      </c>
      <c r="F19" s="9">
        <v>9.8360655737704916E-2</v>
      </c>
      <c r="G19" s="9">
        <v>0.1147540983606557</v>
      </c>
      <c r="H19" s="9">
        <v>4.9180327868852458E-2</v>
      </c>
      <c r="I19" s="9">
        <v>3.2786885245901641E-2</v>
      </c>
      <c r="J19" s="9">
        <v>0</v>
      </c>
      <c r="K19" s="9">
        <v>0.4098360655737705</v>
      </c>
      <c r="L19" s="9">
        <v>4.9180327868852458E-2</v>
      </c>
      <c r="M19" s="9">
        <v>3.2786885245901641E-2</v>
      </c>
      <c r="N19" s="10">
        <v>3191.4590163934431</v>
      </c>
      <c r="O19" s="10">
        <v>1699</v>
      </c>
      <c r="P19" s="10">
        <v>6661.4281891442542</v>
      </c>
      <c r="Q19" s="11">
        <v>25.770491803278691</v>
      </c>
      <c r="R19" s="11">
        <v>45</v>
      </c>
      <c r="S19" s="11">
        <v>3.8967213114754098</v>
      </c>
      <c r="T19" s="8">
        <v>1299.983606557377</v>
      </c>
      <c r="U19" s="11">
        <v>4.7540983606557381</v>
      </c>
      <c r="V19" s="8">
        <v>57</v>
      </c>
      <c r="W19" s="8">
        <v>10</v>
      </c>
      <c r="X19" s="8">
        <v>17</v>
      </c>
      <c r="Y19" s="9">
        <v>0.1147540983606557</v>
      </c>
      <c r="Z19" s="9">
        <v>0.32786885245901642</v>
      </c>
      <c r="AA19" s="11">
        <v>22</v>
      </c>
      <c r="AB19" s="10">
        <v>3649</v>
      </c>
      <c r="AC19" s="11">
        <v>-3.2325581395348841</v>
      </c>
    </row>
    <row r="20" spans="1:29" x14ac:dyDescent="0.3">
      <c r="A20" s="6" t="s">
        <v>81</v>
      </c>
      <c r="B20" s="7" t="s">
        <v>73</v>
      </c>
      <c r="C20" s="8">
        <v>62</v>
      </c>
      <c r="D20" s="9">
        <v>0.58064516129032262</v>
      </c>
      <c r="E20" s="9">
        <v>0.20967741935483869</v>
      </c>
      <c r="F20" s="9">
        <v>8.0645161290322578E-2</v>
      </c>
      <c r="G20" s="9">
        <v>8.0645161290322578E-2</v>
      </c>
      <c r="H20" s="9">
        <v>3.2258064516129031E-2</v>
      </c>
      <c r="I20" s="9">
        <v>0</v>
      </c>
      <c r="J20" s="9">
        <v>1.6129032258064519E-2</v>
      </c>
      <c r="K20" s="9">
        <v>0.37096774193548387</v>
      </c>
      <c r="L20" s="9">
        <v>3.2258064516129031E-2</v>
      </c>
      <c r="M20" s="9">
        <v>1.6129032258064519E-2</v>
      </c>
      <c r="N20" s="10">
        <v>6018.677419354839</v>
      </c>
      <c r="O20" s="10">
        <v>2499</v>
      </c>
      <c r="P20" s="10">
        <v>14211.30166368314</v>
      </c>
      <c r="Q20" s="11">
        <v>26.258064516129028</v>
      </c>
      <c r="R20" s="11">
        <v>48</v>
      </c>
      <c r="S20" s="11">
        <v>3.8354838709677419</v>
      </c>
      <c r="T20" s="8">
        <v>1113.338709677419</v>
      </c>
      <c r="U20" s="11">
        <v>4.82258064516129</v>
      </c>
      <c r="V20" s="8">
        <v>56</v>
      </c>
      <c r="W20" s="8">
        <v>11</v>
      </c>
      <c r="X20" s="8">
        <v>23</v>
      </c>
      <c r="Y20" s="9">
        <v>0.1129032258064516</v>
      </c>
      <c r="Z20" s="9">
        <v>0.29032258064516131</v>
      </c>
      <c r="AA20" s="11">
        <v>36.5</v>
      </c>
      <c r="AB20" s="10">
        <v>1299</v>
      </c>
      <c r="AC20" s="11">
        <v>11.642857142857141</v>
      </c>
    </row>
    <row r="21" spans="1:29" x14ac:dyDescent="0.3">
      <c r="A21" s="6" t="s">
        <v>82</v>
      </c>
      <c r="B21" s="7" t="s">
        <v>73</v>
      </c>
      <c r="C21" s="8">
        <v>54</v>
      </c>
      <c r="D21" s="9">
        <v>0.40740740740740738</v>
      </c>
      <c r="E21" s="9">
        <v>0.27777777777777779</v>
      </c>
      <c r="F21" s="9">
        <v>0.14814814814814811</v>
      </c>
      <c r="G21" s="9">
        <v>7.407407407407407E-2</v>
      </c>
      <c r="H21" s="9">
        <v>3.7037037037037028E-2</v>
      </c>
      <c r="I21" s="9">
        <v>3.7037037037037028E-2</v>
      </c>
      <c r="J21" s="9">
        <v>1.8518518518518521E-2</v>
      </c>
      <c r="K21" s="9">
        <v>0.5</v>
      </c>
      <c r="L21" s="9">
        <v>3.7037037037037028E-2</v>
      </c>
      <c r="M21" s="9">
        <v>5.5555555555555552E-2</v>
      </c>
      <c r="N21" s="10">
        <v>2152.1481481481478</v>
      </c>
      <c r="O21" s="10">
        <v>1099</v>
      </c>
      <c r="P21" s="10">
        <v>3712.7286533100851</v>
      </c>
      <c r="Q21" s="11">
        <v>24.75925925925926</v>
      </c>
      <c r="R21" s="11">
        <v>47</v>
      </c>
      <c r="S21" s="11">
        <v>3.8685185185185191</v>
      </c>
      <c r="T21" s="8">
        <v>1371</v>
      </c>
      <c r="U21" s="11">
        <v>5.1296296296296298</v>
      </c>
      <c r="V21" s="8">
        <v>49</v>
      </c>
      <c r="W21" s="8">
        <v>9</v>
      </c>
      <c r="X21" s="8">
        <v>18</v>
      </c>
      <c r="Y21" s="9">
        <v>0.16666666666666671</v>
      </c>
      <c r="Z21" s="9">
        <v>0.29629629629629628</v>
      </c>
      <c r="AA21" s="11">
        <v>20.5</v>
      </c>
      <c r="AB21" s="10">
        <v>3299</v>
      </c>
      <c r="AC21" s="11">
        <v>-5.0135135135135123</v>
      </c>
    </row>
    <row r="22" spans="1:29" x14ac:dyDescent="0.3">
      <c r="A22" s="6" t="s">
        <v>83</v>
      </c>
      <c r="B22" s="7" t="s">
        <v>84</v>
      </c>
      <c r="C22" s="8">
        <v>42</v>
      </c>
      <c r="D22" s="9">
        <v>0.59523809523809523</v>
      </c>
      <c r="E22" s="9">
        <v>0.26190476190476192</v>
      </c>
      <c r="F22" s="9">
        <v>4.7619047619047623E-2</v>
      </c>
      <c r="G22" s="9">
        <v>0</v>
      </c>
      <c r="H22" s="9">
        <v>2.3809523809523812E-2</v>
      </c>
      <c r="I22" s="9">
        <v>7.1428571428571425E-2</v>
      </c>
      <c r="J22" s="9">
        <v>0</v>
      </c>
      <c r="K22" s="9">
        <v>0.30952380952380948</v>
      </c>
      <c r="L22" s="9">
        <v>2.3809523809523812E-2</v>
      </c>
      <c r="M22" s="9">
        <v>7.1428571428571425E-2</v>
      </c>
      <c r="N22" s="10">
        <v>7894</v>
      </c>
      <c r="O22" s="10">
        <v>2799</v>
      </c>
      <c r="P22" s="10">
        <v>15605.106301558049</v>
      </c>
      <c r="Q22" s="11">
        <v>17</v>
      </c>
      <c r="R22" s="11">
        <v>47</v>
      </c>
      <c r="S22" s="11">
        <v>4.0452380952380951</v>
      </c>
      <c r="T22" s="8">
        <v>1086.8095238095241</v>
      </c>
      <c r="U22" s="11">
        <v>5.3095238095238093</v>
      </c>
      <c r="V22" s="8">
        <v>38</v>
      </c>
      <c r="W22" s="8">
        <v>8</v>
      </c>
      <c r="X22" s="8">
        <v>20</v>
      </c>
      <c r="Y22" s="9">
        <v>0.14285714285714279</v>
      </c>
      <c r="Z22" s="9">
        <v>0.38095238095238088</v>
      </c>
      <c r="AA22" s="11">
        <v>33</v>
      </c>
      <c r="AB22" s="10">
        <v>599</v>
      </c>
      <c r="AC22" s="11">
        <v>17.527777777777779</v>
      </c>
    </row>
    <row r="23" spans="1:29" x14ac:dyDescent="0.3">
      <c r="A23" s="6" t="s">
        <v>85</v>
      </c>
      <c r="B23" s="7" t="s">
        <v>84</v>
      </c>
      <c r="C23" s="8">
        <v>42</v>
      </c>
      <c r="D23" s="9">
        <v>0.52380952380952384</v>
      </c>
      <c r="E23" s="9">
        <v>0.30952380952380948</v>
      </c>
      <c r="F23" s="9">
        <v>0.119047619047619</v>
      </c>
      <c r="G23" s="9">
        <v>2.3809523809523812E-2</v>
      </c>
      <c r="H23" s="9">
        <v>2.3809523809523812E-2</v>
      </c>
      <c r="I23" s="9">
        <v>0</v>
      </c>
      <c r="J23" s="9">
        <v>0</v>
      </c>
      <c r="K23" s="9">
        <v>0.45238095238095238</v>
      </c>
      <c r="L23" s="9">
        <v>2.3809523809523812E-2</v>
      </c>
      <c r="M23" s="9">
        <v>0</v>
      </c>
      <c r="N23" s="10">
        <v>8495.6666666666661</v>
      </c>
      <c r="O23" s="10">
        <v>2749</v>
      </c>
      <c r="P23" s="10">
        <v>17895.263805450501</v>
      </c>
      <c r="Q23" s="11">
        <v>15.30952380952381</v>
      </c>
      <c r="R23" s="11">
        <v>40</v>
      </c>
      <c r="S23" s="11">
        <v>3.9666666666666659</v>
      </c>
      <c r="T23" s="8">
        <v>1026</v>
      </c>
      <c r="U23" s="11">
        <v>4.4047619047619051</v>
      </c>
      <c r="V23" s="8">
        <v>41</v>
      </c>
      <c r="W23" s="8">
        <v>8</v>
      </c>
      <c r="X23" s="8">
        <v>19</v>
      </c>
      <c r="Y23" s="9">
        <v>0.14285714285714279</v>
      </c>
      <c r="Z23" s="9">
        <v>0.35714285714285721</v>
      </c>
      <c r="AA23" s="11">
        <v>38</v>
      </c>
      <c r="AB23" s="10">
        <v>30999</v>
      </c>
      <c r="AC23" s="11">
        <v>22.74285714285714</v>
      </c>
    </row>
    <row r="24" spans="1:29" x14ac:dyDescent="0.3">
      <c r="A24" s="6" t="s">
        <v>86</v>
      </c>
      <c r="B24" s="7" t="s">
        <v>84</v>
      </c>
      <c r="C24" s="8">
        <v>60</v>
      </c>
      <c r="D24" s="9">
        <v>0.46666666666666667</v>
      </c>
      <c r="E24" s="9">
        <v>0.26666666666666672</v>
      </c>
      <c r="F24" s="9">
        <v>8.3333333333333329E-2</v>
      </c>
      <c r="G24" s="9">
        <v>0.1</v>
      </c>
      <c r="H24" s="9">
        <v>6.6666666666666666E-2</v>
      </c>
      <c r="I24" s="9">
        <v>0</v>
      </c>
      <c r="J24" s="9">
        <v>1.666666666666667E-2</v>
      </c>
      <c r="K24" s="9">
        <v>0.45</v>
      </c>
      <c r="L24" s="9">
        <v>6.6666666666666666E-2</v>
      </c>
      <c r="M24" s="9">
        <v>1.666666666666667E-2</v>
      </c>
      <c r="N24" s="10">
        <v>3496.666666666667</v>
      </c>
      <c r="O24" s="10">
        <v>2049</v>
      </c>
      <c r="P24" s="10">
        <v>4567.2022985804106</v>
      </c>
      <c r="Q24" s="11">
        <v>15.33333333333333</v>
      </c>
      <c r="R24" s="11">
        <v>48</v>
      </c>
      <c r="S24" s="11">
        <v>3.9633333333333329</v>
      </c>
      <c r="T24" s="8">
        <v>1182.0999999999999</v>
      </c>
      <c r="U24" s="11">
        <v>4.3499999999999996</v>
      </c>
      <c r="V24" s="8">
        <v>58</v>
      </c>
      <c r="W24" s="8">
        <v>12</v>
      </c>
      <c r="X24" s="8">
        <v>17</v>
      </c>
      <c r="Y24" s="9">
        <v>0.15</v>
      </c>
      <c r="Z24" s="9">
        <v>0.23333333333333331</v>
      </c>
      <c r="AA24" s="11">
        <v>18.5</v>
      </c>
      <c r="AB24" s="10">
        <v>2504</v>
      </c>
      <c r="AC24" s="11">
        <v>2.704545454545455</v>
      </c>
    </row>
    <row r="25" spans="1:29" x14ac:dyDescent="0.3">
      <c r="A25" s="6" t="s">
        <v>87</v>
      </c>
      <c r="B25" s="7" t="s">
        <v>84</v>
      </c>
      <c r="C25" s="8">
        <v>45</v>
      </c>
      <c r="D25" s="9">
        <v>0.37777777777777782</v>
      </c>
      <c r="E25" s="9">
        <v>0.28888888888888892</v>
      </c>
      <c r="F25" s="9">
        <v>6.6666666666666666E-2</v>
      </c>
      <c r="G25" s="9">
        <v>0.15555555555555561</v>
      </c>
      <c r="H25" s="9">
        <v>8.8888888888888892E-2</v>
      </c>
      <c r="I25" s="9">
        <v>0</v>
      </c>
      <c r="J25" s="9">
        <v>2.222222222222222E-2</v>
      </c>
      <c r="K25" s="9">
        <v>0.51111111111111107</v>
      </c>
      <c r="L25" s="9">
        <v>8.8888888888888892E-2</v>
      </c>
      <c r="M25" s="9">
        <v>2.222222222222222E-2</v>
      </c>
      <c r="N25" s="10">
        <v>10052.555555555549</v>
      </c>
      <c r="O25" s="10">
        <v>1899</v>
      </c>
      <c r="P25" s="10">
        <v>18242.97525519388</v>
      </c>
      <c r="Q25" s="11">
        <v>13.888888888888889</v>
      </c>
      <c r="R25" s="11">
        <v>46</v>
      </c>
      <c r="S25" s="11">
        <v>4.0088888888888894</v>
      </c>
      <c r="T25" s="8">
        <v>741.77777777777783</v>
      </c>
      <c r="U25" s="11">
        <v>4.2666666666666666</v>
      </c>
      <c r="V25" s="8">
        <v>44</v>
      </c>
      <c r="W25" s="8">
        <v>9</v>
      </c>
      <c r="X25" s="8">
        <v>20</v>
      </c>
      <c r="Y25" s="9">
        <v>0.1333333333333333</v>
      </c>
      <c r="Z25" s="9">
        <v>0.28888888888888892</v>
      </c>
      <c r="AA25" s="11">
        <v>14.25</v>
      </c>
      <c r="AB25" s="10">
        <v>7521.5</v>
      </c>
      <c r="AC25" s="11">
        <v>-1.5500000000000009</v>
      </c>
    </row>
    <row r="26" spans="1:29" x14ac:dyDescent="0.3">
      <c r="A26" s="6" t="s">
        <v>88</v>
      </c>
      <c r="B26" s="7" t="s">
        <v>84</v>
      </c>
      <c r="C26" s="8">
        <v>40</v>
      </c>
      <c r="D26" s="9">
        <v>0.47499999999999998</v>
      </c>
      <c r="E26" s="9">
        <v>0.125</v>
      </c>
      <c r="F26" s="9">
        <v>0.1</v>
      </c>
      <c r="G26" s="9">
        <v>0.125</v>
      </c>
      <c r="H26" s="9">
        <v>0.125</v>
      </c>
      <c r="I26" s="9">
        <v>0.05</v>
      </c>
      <c r="J26" s="9">
        <v>0</v>
      </c>
      <c r="K26" s="9">
        <v>0.35</v>
      </c>
      <c r="L26" s="9">
        <v>0.125</v>
      </c>
      <c r="M26" s="9">
        <v>0.05</v>
      </c>
      <c r="N26" s="10">
        <v>4715.75</v>
      </c>
      <c r="O26" s="10">
        <v>1799</v>
      </c>
      <c r="P26" s="10">
        <v>13993.08920778121</v>
      </c>
      <c r="Q26" s="11">
        <v>17.05</v>
      </c>
      <c r="R26" s="11">
        <v>45</v>
      </c>
      <c r="S26" s="11">
        <v>3.9649999999999999</v>
      </c>
      <c r="T26" s="8">
        <v>1132.4749999999999</v>
      </c>
      <c r="U26" s="11">
        <v>4.3</v>
      </c>
      <c r="V26" s="8">
        <v>36</v>
      </c>
      <c r="W26" s="8">
        <v>7</v>
      </c>
      <c r="X26" s="8">
        <v>18</v>
      </c>
      <c r="Y26" s="9">
        <v>0.125</v>
      </c>
      <c r="Z26" s="9">
        <v>0.42499999999999999</v>
      </c>
      <c r="AA26" s="11">
        <v>24.2</v>
      </c>
      <c r="AB26" s="10">
        <v>2379</v>
      </c>
      <c r="AC26" s="11">
        <v>3.8249999999999988</v>
      </c>
    </row>
    <row r="27" spans="1:29" x14ac:dyDescent="0.3">
      <c r="A27" s="6" t="s">
        <v>89</v>
      </c>
      <c r="B27" s="7" t="s">
        <v>84</v>
      </c>
      <c r="C27" s="8">
        <v>50</v>
      </c>
      <c r="D27" s="9">
        <v>0.57999999999999996</v>
      </c>
      <c r="E27" s="9">
        <v>0.14000000000000001</v>
      </c>
      <c r="F27" s="9">
        <v>0.14000000000000001</v>
      </c>
      <c r="G27" s="9">
        <v>0.1</v>
      </c>
      <c r="H27" s="9">
        <v>0.02</v>
      </c>
      <c r="I27" s="9">
        <v>0.02</v>
      </c>
      <c r="J27" s="9">
        <v>0</v>
      </c>
      <c r="K27" s="9">
        <v>0.38</v>
      </c>
      <c r="L27" s="9">
        <v>0.02</v>
      </c>
      <c r="M27" s="9">
        <v>0.02</v>
      </c>
      <c r="N27" s="10">
        <v>4285.6000000000004</v>
      </c>
      <c r="O27" s="10">
        <v>3199</v>
      </c>
      <c r="P27" s="10">
        <v>3856.4970940913072</v>
      </c>
      <c r="Q27" s="11">
        <v>14.54</v>
      </c>
      <c r="R27" s="11">
        <v>40</v>
      </c>
      <c r="S27" s="11">
        <v>3.9359999999999999</v>
      </c>
      <c r="T27" s="8">
        <v>1019.38</v>
      </c>
      <c r="U27" s="11">
        <v>5.0999999999999996</v>
      </c>
      <c r="V27" s="8">
        <v>45</v>
      </c>
      <c r="W27" s="8">
        <v>11</v>
      </c>
      <c r="X27" s="8">
        <v>15</v>
      </c>
      <c r="Y27" s="9">
        <v>0.18</v>
      </c>
      <c r="Z27" s="9">
        <v>0.32</v>
      </c>
      <c r="AA27" s="11">
        <v>11</v>
      </c>
      <c r="AB27" s="10">
        <v>7999</v>
      </c>
      <c r="AC27" s="11">
        <v>-2.6388888888888888</v>
      </c>
    </row>
    <row r="28" spans="1:29" x14ac:dyDescent="0.3">
      <c r="A28" s="6" t="s">
        <v>90</v>
      </c>
      <c r="B28" s="7" t="s">
        <v>84</v>
      </c>
      <c r="C28" s="8">
        <v>62</v>
      </c>
      <c r="D28" s="9">
        <v>0.43548387096774188</v>
      </c>
      <c r="E28" s="9">
        <v>0.24193548387096769</v>
      </c>
      <c r="F28" s="9">
        <v>8.0645161290322578E-2</v>
      </c>
      <c r="G28" s="9">
        <v>0.16129032258064521</v>
      </c>
      <c r="H28" s="9">
        <v>6.4516129032258063E-2</v>
      </c>
      <c r="I28" s="9">
        <v>1.6129032258064519E-2</v>
      </c>
      <c r="J28" s="9">
        <v>0</v>
      </c>
      <c r="K28" s="9">
        <v>0.4838709677419355</v>
      </c>
      <c r="L28" s="9">
        <v>6.4516129032258063E-2</v>
      </c>
      <c r="M28" s="9">
        <v>1.6129032258064519E-2</v>
      </c>
      <c r="N28" s="10">
        <v>4928.677419354839</v>
      </c>
      <c r="O28" s="10">
        <v>2949</v>
      </c>
      <c r="P28" s="10">
        <v>5131.5785344172209</v>
      </c>
      <c r="Q28" s="11">
        <v>10.17741935483871</v>
      </c>
      <c r="R28" s="11">
        <v>46</v>
      </c>
      <c r="S28" s="11">
        <v>3.9290322580645158</v>
      </c>
      <c r="T28" s="8">
        <v>922.19354838709683</v>
      </c>
      <c r="U28" s="11">
        <v>5.225806451612903</v>
      </c>
      <c r="V28" s="8">
        <v>58</v>
      </c>
      <c r="W28" s="8">
        <v>13</v>
      </c>
      <c r="X28" s="8">
        <v>18</v>
      </c>
      <c r="Y28" s="9">
        <v>9.6774193548387094E-2</v>
      </c>
      <c r="Z28" s="9">
        <v>0.33870967741935482</v>
      </c>
      <c r="AA28" s="11">
        <v>2.75</v>
      </c>
      <c r="AB28" s="10">
        <v>4849</v>
      </c>
      <c r="AC28" s="11">
        <v>-7.4166666666666661</v>
      </c>
    </row>
    <row r="29" spans="1:29" x14ac:dyDescent="0.3">
      <c r="A29" s="6" t="s">
        <v>91</v>
      </c>
      <c r="B29" s="7" t="s">
        <v>84</v>
      </c>
      <c r="C29" s="8">
        <v>45</v>
      </c>
      <c r="D29" s="9">
        <v>0.42222222222222222</v>
      </c>
      <c r="E29" s="9">
        <v>0.26666666666666672</v>
      </c>
      <c r="F29" s="9">
        <v>8.8888888888888892E-2</v>
      </c>
      <c r="G29" s="9">
        <v>0.1333333333333333</v>
      </c>
      <c r="H29" s="9">
        <v>2.222222222222222E-2</v>
      </c>
      <c r="I29" s="9">
        <v>4.4444444444444453E-2</v>
      </c>
      <c r="J29" s="9">
        <v>2.222222222222222E-2</v>
      </c>
      <c r="K29" s="9">
        <v>0.48888888888888887</v>
      </c>
      <c r="L29" s="9">
        <v>2.222222222222222E-2</v>
      </c>
      <c r="M29" s="9">
        <v>6.6666666666666666E-2</v>
      </c>
      <c r="N29" s="10">
        <v>5308.1111111111113</v>
      </c>
      <c r="O29" s="10">
        <v>2399</v>
      </c>
      <c r="P29" s="10">
        <v>5641.4302756974284</v>
      </c>
      <c r="Q29" s="11">
        <v>15.37777777777778</v>
      </c>
      <c r="R29" s="11">
        <v>44</v>
      </c>
      <c r="S29" s="11">
        <v>3.9555555555555562</v>
      </c>
      <c r="T29" s="8">
        <v>850.73333333333335</v>
      </c>
      <c r="U29" s="11">
        <v>5.1111111111111107</v>
      </c>
      <c r="V29" s="8">
        <v>45</v>
      </c>
      <c r="W29" s="8">
        <v>9</v>
      </c>
      <c r="X29" s="8">
        <v>13</v>
      </c>
      <c r="Y29" s="9">
        <v>0.24444444444444441</v>
      </c>
      <c r="Z29" s="9">
        <v>0.33333333333333331</v>
      </c>
      <c r="AA29" s="11">
        <v>17</v>
      </c>
      <c r="AB29" s="10">
        <v>1899</v>
      </c>
      <c r="AC29" s="11">
        <v>1.612903225806452</v>
      </c>
    </row>
    <row r="30" spans="1:29" x14ac:dyDescent="0.3">
      <c r="A30" s="6" t="s">
        <v>92</v>
      </c>
      <c r="B30" s="7" t="s">
        <v>84</v>
      </c>
      <c r="C30" s="8">
        <v>55</v>
      </c>
      <c r="D30" s="9">
        <v>0.41818181818181821</v>
      </c>
      <c r="E30" s="9">
        <v>0.27272727272727271</v>
      </c>
      <c r="F30" s="9">
        <v>0.1090909090909091</v>
      </c>
      <c r="G30" s="9">
        <v>7.2727272727272724E-2</v>
      </c>
      <c r="H30" s="9">
        <v>5.4545454545454543E-2</v>
      </c>
      <c r="I30" s="9">
        <v>5.4545454545454543E-2</v>
      </c>
      <c r="J30" s="9">
        <v>1.8181818181818181E-2</v>
      </c>
      <c r="K30" s="9">
        <v>0.45454545454545447</v>
      </c>
      <c r="L30" s="9">
        <v>5.4545454545454543E-2</v>
      </c>
      <c r="M30" s="9">
        <v>7.2727272727272724E-2</v>
      </c>
      <c r="N30" s="10">
        <v>3673.545454545455</v>
      </c>
      <c r="O30" s="10">
        <v>2699</v>
      </c>
      <c r="P30" s="10">
        <v>3612.438295349893</v>
      </c>
      <c r="Q30" s="11">
        <v>13.41818181818182</v>
      </c>
      <c r="R30" s="11">
        <v>45</v>
      </c>
      <c r="S30" s="11">
        <v>4.0672727272727274</v>
      </c>
      <c r="T30" s="8">
        <v>788.34545454545457</v>
      </c>
      <c r="U30" s="11">
        <v>5.0363636363636362</v>
      </c>
      <c r="V30" s="8">
        <v>55</v>
      </c>
      <c r="W30" s="8">
        <v>11</v>
      </c>
      <c r="X30" s="8">
        <v>18</v>
      </c>
      <c r="Y30" s="9">
        <v>0.14545454545454539</v>
      </c>
      <c r="Z30" s="9">
        <v>0.30909090909090908</v>
      </c>
      <c r="AA30" s="11">
        <v>11.66666666666667</v>
      </c>
      <c r="AB30" s="10">
        <v>2632.333333333333</v>
      </c>
      <c r="AC30" s="11">
        <v>-2.4649122807017552</v>
      </c>
    </row>
    <row r="31" spans="1:29" x14ac:dyDescent="0.3">
      <c r="A31" s="6" t="s">
        <v>93</v>
      </c>
      <c r="B31" s="7" t="s">
        <v>84</v>
      </c>
      <c r="C31" s="8">
        <v>64</v>
      </c>
      <c r="D31" s="9">
        <v>0.46875</v>
      </c>
      <c r="E31" s="9">
        <v>0.265625</v>
      </c>
      <c r="F31" s="9">
        <v>0.109375</v>
      </c>
      <c r="G31" s="9">
        <v>7.8125E-2</v>
      </c>
      <c r="H31" s="9">
        <v>6.25E-2</v>
      </c>
      <c r="I31" s="9">
        <v>1.5625E-2</v>
      </c>
      <c r="J31" s="9">
        <v>0</v>
      </c>
      <c r="K31" s="9">
        <v>0.453125</v>
      </c>
      <c r="L31" s="9">
        <v>6.25E-2</v>
      </c>
      <c r="M31" s="9">
        <v>1.5625E-2</v>
      </c>
      <c r="N31" s="10">
        <v>7614.625</v>
      </c>
      <c r="O31" s="10">
        <v>3849</v>
      </c>
      <c r="P31" s="10">
        <v>9306.2399061315955</v>
      </c>
      <c r="Q31" s="11">
        <v>12.03125</v>
      </c>
      <c r="R31" s="11">
        <v>43</v>
      </c>
      <c r="S31" s="11">
        <v>4.0218749999999996</v>
      </c>
      <c r="T31" s="8">
        <v>1294.640625</v>
      </c>
      <c r="U31" s="11">
        <v>4.75</v>
      </c>
      <c r="V31" s="8">
        <v>59</v>
      </c>
      <c r="W31" s="8">
        <v>11</v>
      </c>
      <c r="X31" s="8">
        <v>20</v>
      </c>
      <c r="Y31" s="9">
        <v>0.171875</v>
      </c>
      <c r="Z31" s="9">
        <v>0.296875</v>
      </c>
      <c r="AA31" s="11">
        <v>12.5</v>
      </c>
      <c r="AB31" s="10">
        <v>4824</v>
      </c>
      <c r="AC31" s="11">
        <v>-9.5744680851064246E-2</v>
      </c>
    </row>
    <row r="32" spans="1:29" x14ac:dyDescent="0.3">
      <c r="A32" s="6" t="s">
        <v>94</v>
      </c>
      <c r="B32" s="7" t="s">
        <v>95</v>
      </c>
      <c r="C32" s="8">
        <v>101</v>
      </c>
      <c r="D32" s="9">
        <v>0.54455445544554459</v>
      </c>
      <c r="E32" s="9">
        <v>0.23762376237623761</v>
      </c>
      <c r="F32" s="9">
        <v>8.9108910891089105E-2</v>
      </c>
      <c r="G32" s="9">
        <v>7.9207920792079209E-2</v>
      </c>
      <c r="H32" s="9">
        <v>9.9009900990099011E-3</v>
      </c>
      <c r="I32" s="9">
        <v>2.9702970297029702E-2</v>
      </c>
      <c r="J32" s="9">
        <v>9.9009900990099011E-3</v>
      </c>
      <c r="K32" s="9">
        <v>0.40594059405940602</v>
      </c>
      <c r="L32" s="9">
        <v>9.9009900990099011E-3</v>
      </c>
      <c r="M32" s="9">
        <v>3.9603960396039598E-2</v>
      </c>
      <c r="N32" s="10">
        <v>2729.4950495049511</v>
      </c>
      <c r="O32" s="10">
        <v>1699</v>
      </c>
      <c r="P32" s="10">
        <v>4440.2966964466741</v>
      </c>
      <c r="Q32" s="11">
        <v>19.306930693069312</v>
      </c>
      <c r="R32" s="11">
        <v>48</v>
      </c>
      <c r="S32" s="11">
        <v>3.9059405940594059</v>
      </c>
      <c r="T32" s="8">
        <v>984.66336633663366</v>
      </c>
      <c r="U32" s="11">
        <v>4.8019801980198018</v>
      </c>
      <c r="V32" s="8">
        <v>98</v>
      </c>
      <c r="W32" s="8">
        <v>15</v>
      </c>
      <c r="X32" s="8">
        <v>19</v>
      </c>
      <c r="Y32" s="9">
        <v>0.11881188118811881</v>
      </c>
      <c r="Z32" s="9">
        <v>0.29702970297029702</v>
      </c>
      <c r="AA32" s="11">
        <v>0</v>
      </c>
      <c r="AB32" s="10">
        <v>10999</v>
      </c>
      <c r="AC32" s="11">
        <v>-19.36708860759494</v>
      </c>
    </row>
    <row r="33" spans="1:29" x14ac:dyDescent="0.3">
      <c r="A33" s="6" t="s">
        <v>96</v>
      </c>
      <c r="B33" s="7" t="s">
        <v>95</v>
      </c>
      <c r="C33" s="8">
        <v>106</v>
      </c>
      <c r="D33" s="9">
        <v>0.56603773584905659</v>
      </c>
      <c r="E33" s="9">
        <v>0.1981132075471698</v>
      </c>
      <c r="F33" s="9">
        <v>3.7735849056603772E-2</v>
      </c>
      <c r="G33" s="9">
        <v>0.14150943396226409</v>
      </c>
      <c r="H33" s="9">
        <v>9.433962264150943E-3</v>
      </c>
      <c r="I33" s="9">
        <v>2.8301886792452831E-2</v>
      </c>
      <c r="J33" s="9">
        <v>1.886792452830189E-2</v>
      </c>
      <c r="K33" s="9">
        <v>0.37735849056603782</v>
      </c>
      <c r="L33" s="9">
        <v>9.433962264150943E-3</v>
      </c>
      <c r="M33" s="9">
        <v>4.716981132075472E-2</v>
      </c>
      <c r="N33" s="10">
        <v>2526.8301886792451</v>
      </c>
      <c r="O33" s="10">
        <v>1599</v>
      </c>
      <c r="P33" s="10">
        <v>2487.0024047768179</v>
      </c>
      <c r="Q33" s="11">
        <v>16</v>
      </c>
      <c r="R33" s="11">
        <v>47</v>
      </c>
      <c r="S33" s="11">
        <v>3.9613207547169811</v>
      </c>
      <c r="T33" s="8">
        <v>941.36792452830184</v>
      </c>
      <c r="U33" s="11">
        <v>5.3301886792452828</v>
      </c>
      <c r="V33" s="8">
        <v>89</v>
      </c>
      <c r="W33" s="8">
        <v>10</v>
      </c>
      <c r="X33" s="8">
        <v>19</v>
      </c>
      <c r="Y33" s="9">
        <v>0.13207547169811321</v>
      </c>
      <c r="Z33" s="9">
        <v>0.33962264150943389</v>
      </c>
      <c r="AA33" s="11">
        <v>27</v>
      </c>
      <c r="AB33" s="10">
        <v>1099</v>
      </c>
      <c r="AC33" s="11">
        <v>12.33333333333333</v>
      </c>
    </row>
    <row r="34" spans="1:29" x14ac:dyDescent="0.3">
      <c r="A34" s="6" t="s">
        <v>97</v>
      </c>
      <c r="B34" s="7" t="s">
        <v>95</v>
      </c>
      <c r="C34" s="8">
        <v>100</v>
      </c>
      <c r="D34" s="9">
        <v>0.59</v>
      </c>
      <c r="E34" s="9">
        <v>0.19</v>
      </c>
      <c r="F34" s="9">
        <v>0.1</v>
      </c>
      <c r="G34" s="9">
        <v>0.08</v>
      </c>
      <c r="H34" s="9">
        <v>0.01</v>
      </c>
      <c r="I34" s="9">
        <v>0.02</v>
      </c>
      <c r="J34" s="9">
        <v>0.01</v>
      </c>
      <c r="K34" s="9">
        <v>0.37</v>
      </c>
      <c r="L34" s="9">
        <v>0.01</v>
      </c>
      <c r="M34" s="9">
        <v>0.03</v>
      </c>
      <c r="N34" s="10">
        <v>4566.8999999999996</v>
      </c>
      <c r="O34" s="10">
        <v>3599</v>
      </c>
      <c r="P34" s="10">
        <v>3680.0848955402971</v>
      </c>
      <c r="Q34" s="11">
        <v>18.93</v>
      </c>
      <c r="R34" s="11">
        <v>47</v>
      </c>
      <c r="S34" s="11">
        <v>3.891</v>
      </c>
      <c r="T34" s="8">
        <v>1105.06</v>
      </c>
      <c r="U34" s="11">
        <v>4.3499999999999996</v>
      </c>
      <c r="V34" s="8">
        <v>89</v>
      </c>
      <c r="W34" s="8">
        <v>11</v>
      </c>
      <c r="X34" s="8">
        <v>19</v>
      </c>
      <c r="Y34" s="9">
        <v>0.11</v>
      </c>
      <c r="Z34" s="9">
        <v>0.32</v>
      </c>
      <c r="AA34" s="11">
        <v>0</v>
      </c>
      <c r="AB34" s="10">
        <v>6999</v>
      </c>
      <c r="AC34" s="11">
        <v>-19.743589743589741</v>
      </c>
    </row>
    <row r="35" spans="1:29" x14ac:dyDescent="0.3">
      <c r="A35" s="6" t="s">
        <v>98</v>
      </c>
      <c r="B35" s="7" t="s">
        <v>95</v>
      </c>
      <c r="C35" s="8">
        <v>103</v>
      </c>
      <c r="D35" s="9">
        <v>0.52427184466019416</v>
      </c>
      <c r="E35" s="9">
        <v>0.27184466019417469</v>
      </c>
      <c r="F35" s="9">
        <v>7.7669902912621352E-2</v>
      </c>
      <c r="G35" s="9">
        <v>8.7378640776699032E-2</v>
      </c>
      <c r="H35" s="9">
        <v>0</v>
      </c>
      <c r="I35" s="9">
        <v>3.8834951456310683E-2</v>
      </c>
      <c r="J35" s="9">
        <v>0</v>
      </c>
      <c r="K35" s="9">
        <v>0.43689320388349512</v>
      </c>
      <c r="L35" s="9">
        <v>0</v>
      </c>
      <c r="M35" s="9">
        <v>3.8834951456310683E-2</v>
      </c>
      <c r="N35" s="10">
        <v>2568.9029126213591</v>
      </c>
      <c r="O35" s="10">
        <v>1399</v>
      </c>
      <c r="P35" s="10">
        <v>4654.9830974494907</v>
      </c>
      <c r="Q35" s="11">
        <v>19.22330097087379</v>
      </c>
      <c r="R35" s="11">
        <v>46</v>
      </c>
      <c r="S35" s="11">
        <v>3.9165048543689318</v>
      </c>
      <c r="T35" s="8">
        <v>1065.7281553398061</v>
      </c>
      <c r="U35" s="11">
        <v>4.9223300970873787</v>
      </c>
      <c r="V35" s="8">
        <v>97</v>
      </c>
      <c r="W35" s="8">
        <v>13</v>
      </c>
      <c r="X35" s="8">
        <v>21</v>
      </c>
      <c r="Y35" s="9">
        <v>0.1067961165048544</v>
      </c>
      <c r="Z35" s="9">
        <v>0.30097087378640769</v>
      </c>
      <c r="AA35" s="11">
        <v>0</v>
      </c>
      <c r="AB35" s="10">
        <v>0</v>
      </c>
      <c r="AC35" s="11">
        <v>-19.121951219512191</v>
      </c>
    </row>
    <row r="36" spans="1:29" x14ac:dyDescent="0.3">
      <c r="A36" s="6" t="s">
        <v>99</v>
      </c>
      <c r="B36" s="7" t="s">
        <v>95</v>
      </c>
      <c r="C36" s="8">
        <v>103</v>
      </c>
      <c r="D36" s="9">
        <v>0.52427184466019416</v>
      </c>
      <c r="E36" s="9">
        <v>0.26213592233009708</v>
      </c>
      <c r="F36" s="9">
        <v>6.7961165048543687E-2</v>
      </c>
      <c r="G36" s="9">
        <v>7.7669902912621352E-2</v>
      </c>
      <c r="H36" s="9">
        <v>9.7087378640776691E-3</v>
      </c>
      <c r="I36" s="9">
        <v>3.8834951456310683E-2</v>
      </c>
      <c r="J36" s="9">
        <v>1.9417475728155342E-2</v>
      </c>
      <c r="K36" s="9">
        <v>0.40776699029126212</v>
      </c>
      <c r="L36" s="9">
        <v>9.7087378640776691E-3</v>
      </c>
      <c r="M36" s="9">
        <v>5.8252427184466021E-2</v>
      </c>
      <c r="N36" s="10">
        <v>3861.7184466019421</v>
      </c>
      <c r="O36" s="10">
        <v>2399</v>
      </c>
      <c r="P36" s="10">
        <v>3937.0072226160441</v>
      </c>
      <c r="Q36" s="11">
        <v>19.174757281553401</v>
      </c>
      <c r="R36" s="11">
        <v>43</v>
      </c>
      <c r="S36" s="11">
        <v>3.941747572815534</v>
      </c>
      <c r="T36" s="8">
        <v>1042.4174757281551</v>
      </c>
      <c r="U36" s="11">
        <v>5.058252427184466</v>
      </c>
      <c r="V36" s="8">
        <v>95</v>
      </c>
      <c r="W36" s="8">
        <v>15</v>
      </c>
      <c r="X36" s="8">
        <v>23</v>
      </c>
      <c r="Y36" s="9">
        <v>9.7087378640776698E-2</v>
      </c>
      <c r="Z36" s="9">
        <v>0.27184466019417469</v>
      </c>
      <c r="AA36" s="11">
        <v>40</v>
      </c>
      <c r="AB36" s="10">
        <v>8999</v>
      </c>
      <c r="AC36" s="11">
        <v>21.79012345679012</v>
      </c>
    </row>
    <row r="37" spans="1:29" x14ac:dyDescent="0.3">
      <c r="A37" s="6" t="s">
        <v>100</v>
      </c>
      <c r="B37" s="7" t="s">
        <v>95</v>
      </c>
      <c r="C37" s="8">
        <v>108</v>
      </c>
      <c r="D37" s="9">
        <v>0.5092592592592593</v>
      </c>
      <c r="E37" s="9">
        <v>0.2407407407407407</v>
      </c>
      <c r="F37" s="9">
        <v>0.14814814814814811</v>
      </c>
      <c r="G37" s="9">
        <v>7.407407407407407E-2</v>
      </c>
      <c r="H37" s="9">
        <v>0</v>
      </c>
      <c r="I37" s="9">
        <v>9.2592592592592587E-3</v>
      </c>
      <c r="J37" s="9">
        <v>1.8518518518518521E-2</v>
      </c>
      <c r="K37" s="9">
        <v>0.46296296296296302</v>
      </c>
      <c r="L37" s="9">
        <v>0</v>
      </c>
      <c r="M37" s="9">
        <v>2.777777777777778E-2</v>
      </c>
      <c r="N37" s="10">
        <v>4940.8518518518522</v>
      </c>
      <c r="O37" s="10">
        <v>3299</v>
      </c>
      <c r="P37" s="10">
        <v>5411.8796548341452</v>
      </c>
      <c r="Q37" s="11">
        <v>21.675925925925931</v>
      </c>
      <c r="R37" s="11">
        <v>47</v>
      </c>
      <c r="S37" s="11">
        <v>3.909259259259259</v>
      </c>
      <c r="T37" s="8">
        <v>1160.6574074074069</v>
      </c>
      <c r="U37" s="11">
        <v>4.583333333333333</v>
      </c>
      <c r="V37" s="8">
        <v>99</v>
      </c>
      <c r="W37" s="8">
        <v>12</v>
      </c>
      <c r="X37" s="8">
        <v>21</v>
      </c>
      <c r="Y37" s="9">
        <v>0.12037037037037041</v>
      </c>
      <c r="Z37" s="9">
        <v>0.29629629629629628</v>
      </c>
      <c r="AA37" s="11">
        <v>0</v>
      </c>
      <c r="AB37" s="10">
        <v>0</v>
      </c>
      <c r="AC37" s="11">
        <v>-23.061728395061731</v>
      </c>
    </row>
    <row r="38" spans="1:29" x14ac:dyDescent="0.3">
      <c r="A38" s="6" t="s">
        <v>101</v>
      </c>
      <c r="B38" s="7" t="s">
        <v>95</v>
      </c>
      <c r="C38" s="8">
        <v>104</v>
      </c>
      <c r="D38" s="9">
        <v>0.5</v>
      </c>
      <c r="E38" s="9">
        <v>0.25961538461538458</v>
      </c>
      <c r="F38" s="9">
        <v>8.6538461538461536E-2</v>
      </c>
      <c r="G38" s="9">
        <v>8.6538461538461536E-2</v>
      </c>
      <c r="H38" s="9">
        <v>9.6153846153846159E-3</v>
      </c>
      <c r="I38" s="9">
        <v>5.7692307692307702E-2</v>
      </c>
      <c r="J38" s="9">
        <v>0</v>
      </c>
      <c r="K38" s="9">
        <v>0.43269230769230771</v>
      </c>
      <c r="L38" s="9">
        <v>9.6153846153846159E-3</v>
      </c>
      <c r="M38" s="9">
        <v>5.7692307692307702E-2</v>
      </c>
      <c r="N38" s="10">
        <v>4531.5961538461543</v>
      </c>
      <c r="O38" s="10">
        <v>2599</v>
      </c>
      <c r="P38" s="10">
        <v>5689.9087977389408</v>
      </c>
      <c r="Q38" s="11">
        <v>21</v>
      </c>
      <c r="R38" s="11">
        <v>48</v>
      </c>
      <c r="S38" s="11">
        <v>3.870192307692307</v>
      </c>
      <c r="T38" s="8">
        <v>1497.1057692307691</v>
      </c>
      <c r="U38" s="11">
        <v>5.0865384615384617</v>
      </c>
      <c r="V38" s="8">
        <v>93</v>
      </c>
      <c r="W38" s="8">
        <v>13</v>
      </c>
      <c r="X38" s="8">
        <v>17</v>
      </c>
      <c r="Y38" s="9">
        <v>0.13461538461538461</v>
      </c>
      <c r="Z38" s="9">
        <v>0.29807692307692307</v>
      </c>
      <c r="AA38" s="11">
        <v>0</v>
      </c>
      <c r="AB38" s="10">
        <v>399</v>
      </c>
      <c r="AC38" s="11">
        <v>-20.22784810126582</v>
      </c>
    </row>
    <row r="39" spans="1:29" x14ac:dyDescent="0.3">
      <c r="A39" s="6" t="s">
        <v>102</v>
      </c>
      <c r="B39" s="7" t="s">
        <v>95</v>
      </c>
      <c r="C39" s="8">
        <v>106</v>
      </c>
      <c r="D39" s="9">
        <v>0.57547169811320753</v>
      </c>
      <c r="E39" s="9">
        <v>0.22641509433962259</v>
      </c>
      <c r="F39" s="9">
        <v>8.4905660377358486E-2</v>
      </c>
      <c r="G39" s="9">
        <v>8.4905660377358486E-2</v>
      </c>
      <c r="H39" s="9">
        <v>0</v>
      </c>
      <c r="I39" s="9">
        <v>9.433962264150943E-3</v>
      </c>
      <c r="J39" s="9">
        <v>1.886792452830189E-2</v>
      </c>
      <c r="K39" s="9">
        <v>0.39622641509433959</v>
      </c>
      <c r="L39" s="9">
        <v>0</v>
      </c>
      <c r="M39" s="9">
        <v>2.8301886792452831E-2</v>
      </c>
      <c r="N39" s="10">
        <v>3709.6603773584911</v>
      </c>
      <c r="O39" s="10">
        <v>1699</v>
      </c>
      <c r="P39" s="10">
        <v>5974.9051825699134</v>
      </c>
      <c r="Q39" s="11">
        <v>20.811320754716981</v>
      </c>
      <c r="R39" s="11">
        <v>45</v>
      </c>
      <c r="S39" s="11">
        <v>3.9</v>
      </c>
      <c r="T39" s="8">
        <v>729.90566037735846</v>
      </c>
      <c r="U39" s="11">
        <v>4.9811320754716979</v>
      </c>
      <c r="V39" s="8">
        <v>92</v>
      </c>
      <c r="W39" s="8">
        <v>13</v>
      </c>
      <c r="X39" s="8">
        <v>20</v>
      </c>
      <c r="Y39" s="9">
        <v>0.12264150943396231</v>
      </c>
      <c r="Z39" s="9">
        <v>0.330188679245283</v>
      </c>
      <c r="AA39" s="11">
        <v>0</v>
      </c>
      <c r="AB39" s="10">
        <v>0</v>
      </c>
      <c r="AC39" s="11">
        <v>-21.164705882352941</v>
      </c>
    </row>
    <row r="40" spans="1:29" x14ac:dyDescent="0.3">
      <c r="A40" s="6" t="s">
        <v>103</v>
      </c>
      <c r="B40" s="7" t="s">
        <v>95</v>
      </c>
      <c r="C40" s="8">
        <v>116</v>
      </c>
      <c r="D40" s="9">
        <v>0.57758620689655171</v>
      </c>
      <c r="E40" s="9">
        <v>0.22413793103448279</v>
      </c>
      <c r="F40" s="9">
        <v>8.6206896551724144E-2</v>
      </c>
      <c r="G40" s="9">
        <v>6.8965517241379309E-2</v>
      </c>
      <c r="H40" s="9">
        <v>0</v>
      </c>
      <c r="I40" s="9">
        <v>3.4482758620689648E-2</v>
      </c>
      <c r="J40" s="9">
        <v>8.6206896551724137E-3</v>
      </c>
      <c r="K40" s="9">
        <v>0.37931034482758619</v>
      </c>
      <c r="L40" s="9">
        <v>0</v>
      </c>
      <c r="M40" s="9">
        <v>4.3103448275862072E-2</v>
      </c>
      <c r="N40" s="10">
        <v>8391.8448275862065</v>
      </c>
      <c r="O40" s="10">
        <v>2099</v>
      </c>
      <c r="P40" s="10">
        <v>20843.210793551159</v>
      </c>
      <c r="Q40" s="11">
        <v>20.46551724137931</v>
      </c>
      <c r="R40" s="11">
        <v>46</v>
      </c>
      <c r="S40" s="11">
        <v>3.9232758620689658</v>
      </c>
      <c r="T40" s="8">
        <v>1255.9913793103451</v>
      </c>
      <c r="U40" s="11">
        <v>5.0775862068965516</v>
      </c>
      <c r="V40" s="8">
        <v>105</v>
      </c>
      <c r="W40" s="8">
        <v>14</v>
      </c>
      <c r="X40" s="8">
        <v>27</v>
      </c>
      <c r="Y40" s="9">
        <v>6.8965517241379309E-2</v>
      </c>
      <c r="Z40" s="9">
        <v>0.29310344827586199</v>
      </c>
      <c r="AA40" s="11">
        <v>0</v>
      </c>
      <c r="AB40" s="10">
        <v>0</v>
      </c>
      <c r="AC40" s="11">
        <v>-19.50537634408602</v>
      </c>
    </row>
    <row r="41" spans="1:29" x14ac:dyDescent="0.3">
      <c r="A41" s="6" t="s">
        <v>104</v>
      </c>
      <c r="B41" s="7" t="s">
        <v>95</v>
      </c>
      <c r="C41" s="8">
        <v>105</v>
      </c>
      <c r="D41" s="9">
        <v>0.5714285714285714</v>
      </c>
      <c r="E41" s="9">
        <v>0.1714285714285714</v>
      </c>
      <c r="F41" s="9">
        <v>0.1333333333333333</v>
      </c>
      <c r="G41" s="9">
        <v>7.6190476190476197E-2</v>
      </c>
      <c r="H41" s="9">
        <v>0</v>
      </c>
      <c r="I41" s="9">
        <v>2.8571428571428571E-2</v>
      </c>
      <c r="J41" s="9">
        <v>1.9047619047619049E-2</v>
      </c>
      <c r="K41" s="9">
        <v>0.38095238095238088</v>
      </c>
      <c r="L41" s="9">
        <v>0</v>
      </c>
      <c r="M41" s="9">
        <v>4.7619047619047623E-2</v>
      </c>
      <c r="N41" s="10">
        <v>3569</v>
      </c>
      <c r="O41" s="10">
        <v>2099</v>
      </c>
      <c r="P41" s="10">
        <v>3679.3258161704648</v>
      </c>
      <c r="Q41" s="11">
        <v>19.05714285714286</v>
      </c>
      <c r="R41" s="11">
        <v>42</v>
      </c>
      <c r="S41" s="11">
        <v>3.9780952380952379</v>
      </c>
      <c r="T41" s="8">
        <v>971.57142857142856</v>
      </c>
      <c r="U41" s="11">
        <v>5.3428571428571434</v>
      </c>
      <c r="V41" s="8">
        <v>91</v>
      </c>
      <c r="W41" s="8">
        <v>13</v>
      </c>
      <c r="X41" s="8">
        <v>17</v>
      </c>
      <c r="Y41" s="9">
        <v>0.1714285714285714</v>
      </c>
      <c r="Z41" s="9">
        <v>0.32380952380952382</v>
      </c>
      <c r="AA41" s="11">
        <v>0</v>
      </c>
      <c r="AB41" s="10">
        <v>0</v>
      </c>
      <c r="AC41" s="11">
        <v>-18.474358974358971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>
      <pane ySplit="1" topLeftCell="A27" activePane="bottomLeft" state="frozen"/>
      <selection pane="bottomLeft" activeCell="D30" sqref="A30:D32"/>
    </sheetView>
  </sheetViews>
  <sheetFormatPr defaultRowHeight="14.4" x14ac:dyDescent="0.3"/>
  <cols>
    <col min="1" max="1" width="5" customWidth="1"/>
    <col min="2" max="2" width="24" customWidth="1"/>
    <col min="3" max="3" width="19" customWidth="1"/>
    <col min="4" max="4" width="88" customWidth="1"/>
  </cols>
  <sheetData>
    <row r="1" spans="1:4" x14ac:dyDescent="0.3">
      <c r="A1" s="5" t="s">
        <v>105</v>
      </c>
      <c r="B1" s="5" t="s">
        <v>106</v>
      </c>
      <c r="C1" s="5" t="s">
        <v>107</v>
      </c>
      <c r="D1" s="5" t="s">
        <v>108</v>
      </c>
    </row>
    <row r="2" spans="1:4" x14ac:dyDescent="0.3">
      <c r="A2" s="2">
        <v>0</v>
      </c>
      <c r="B2" s="3" t="s">
        <v>34</v>
      </c>
      <c r="C2" s="2" t="s">
        <v>109</v>
      </c>
      <c r="D2" s="12" t="s">
        <v>110</v>
      </c>
    </row>
    <row r="3" spans="1:4" x14ac:dyDescent="0.3">
      <c r="A3" s="2">
        <v>1</v>
      </c>
      <c r="B3" s="3" t="s">
        <v>35</v>
      </c>
      <c r="C3" s="2" t="s">
        <v>111</v>
      </c>
      <c r="D3" s="12" t="s">
        <v>112</v>
      </c>
    </row>
    <row r="4" spans="1:4" x14ac:dyDescent="0.3">
      <c r="A4" s="2">
        <v>2</v>
      </c>
      <c r="B4" s="3" t="s">
        <v>36</v>
      </c>
      <c r="C4" s="2" t="s">
        <v>111</v>
      </c>
      <c r="D4" s="12" t="s">
        <v>113</v>
      </c>
    </row>
    <row r="5" spans="1:4" x14ac:dyDescent="0.3">
      <c r="A5" s="2">
        <v>3</v>
      </c>
      <c r="B5" s="3" t="s">
        <v>37</v>
      </c>
      <c r="C5" s="2" t="s">
        <v>111</v>
      </c>
      <c r="D5" s="12" t="s">
        <v>114</v>
      </c>
    </row>
    <row r="6" spans="1:4" x14ac:dyDescent="0.3">
      <c r="A6" s="2">
        <v>4</v>
      </c>
      <c r="B6" s="3" t="s">
        <v>38</v>
      </c>
      <c r="C6" s="2" t="s">
        <v>111</v>
      </c>
      <c r="D6" s="12" t="s">
        <v>115</v>
      </c>
    </row>
    <row r="7" spans="1:4" x14ac:dyDescent="0.3">
      <c r="A7" s="2">
        <v>5</v>
      </c>
      <c r="B7" s="3" t="s">
        <v>39</v>
      </c>
      <c r="C7" s="2" t="s">
        <v>111</v>
      </c>
      <c r="D7" s="12" t="s">
        <v>116</v>
      </c>
    </row>
    <row r="8" spans="1:4" x14ac:dyDescent="0.3">
      <c r="A8" s="2">
        <v>6</v>
      </c>
      <c r="B8" s="3" t="s">
        <v>40</v>
      </c>
      <c r="C8" s="2" t="s">
        <v>111</v>
      </c>
      <c r="D8" s="12" t="s">
        <v>117</v>
      </c>
    </row>
    <row r="9" spans="1:4" x14ac:dyDescent="0.3">
      <c r="A9" s="2">
        <v>7</v>
      </c>
      <c r="B9" s="3" t="s">
        <v>41</v>
      </c>
      <c r="C9" s="2" t="s">
        <v>111</v>
      </c>
      <c r="D9" s="12" t="s">
        <v>118</v>
      </c>
    </row>
    <row r="10" spans="1:4" x14ac:dyDescent="0.3">
      <c r="A10" s="2">
        <v>8</v>
      </c>
      <c r="B10" s="3" t="s">
        <v>42</v>
      </c>
      <c r="C10" s="2" t="s">
        <v>111</v>
      </c>
      <c r="D10" s="12" t="s">
        <v>119</v>
      </c>
    </row>
    <row r="11" spans="1:4" x14ac:dyDescent="0.3">
      <c r="A11" s="2">
        <v>9</v>
      </c>
      <c r="B11" s="3" t="s">
        <v>43</v>
      </c>
      <c r="C11" s="2" t="s">
        <v>111</v>
      </c>
      <c r="D11" s="12" t="s">
        <v>120</v>
      </c>
    </row>
    <row r="12" spans="1:4" x14ac:dyDescent="0.3">
      <c r="A12" s="2">
        <v>10</v>
      </c>
      <c r="B12" s="3" t="s">
        <v>44</v>
      </c>
      <c r="C12" s="2" t="s">
        <v>111</v>
      </c>
      <c r="D12" s="12" t="s">
        <v>121</v>
      </c>
    </row>
    <row r="13" spans="1:4" x14ac:dyDescent="0.3">
      <c r="A13" s="2">
        <v>11</v>
      </c>
      <c r="B13" s="3" t="s">
        <v>45</v>
      </c>
      <c r="C13" s="2" t="s">
        <v>122</v>
      </c>
      <c r="D13" s="12" t="s">
        <v>123</v>
      </c>
    </row>
    <row r="14" spans="1:4" x14ac:dyDescent="0.3">
      <c r="A14" s="2">
        <v>12</v>
      </c>
      <c r="B14" s="3" t="s">
        <v>46</v>
      </c>
      <c r="C14" s="2" t="s">
        <v>122</v>
      </c>
      <c r="D14" s="12" t="s">
        <v>124</v>
      </c>
    </row>
    <row r="15" spans="1:4" x14ac:dyDescent="0.3">
      <c r="A15" s="2">
        <v>13</v>
      </c>
      <c r="B15" s="3" t="s">
        <v>47</v>
      </c>
      <c r="C15" s="2" t="s">
        <v>122</v>
      </c>
      <c r="D15" s="12" t="s">
        <v>125</v>
      </c>
    </row>
    <row r="16" spans="1:4" x14ac:dyDescent="0.3">
      <c r="A16" s="2">
        <v>14</v>
      </c>
      <c r="B16" s="3" t="s">
        <v>48</v>
      </c>
      <c r="C16" s="2" t="s">
        <v>126</v>
      </c>
      <c r="D16" s="12" t="s">
        <v>127</v>
      </c>
    </row>
    <row r="17" spans="1:4" x14ac:dyDescent="0.3">
      <c r="A17" s="2">
        <v>15</v>
      </c>
      <c r="B17" s="3" t="s">
        <v>49</v>
      </c>
      <c r="C17" s="2" t="s">
        <v>126</v>
      </c>
      <c r="D17" s="12" t="s">
        <v>128</v>
      </c>
    </row>
    <row r="18" spans="1:4" x14ac:dyDescent="0.3">
      <c r="A18" s="2">
        <v>16</v>
      </c>
      <c r="B18" s="3" t="s">
        <v>50</v>
      </c>
      <c r="C18" s="2" t="s">
        <v>129</v>
      </c>
      <c r="D18" s="12" t="s">
        <v>130</v>
      </c>
    </row>
    <row r="19" spans="1:4" x14ac:dyDescent="0.3">
      <c r="A19" s="2">
        <v>17</v>
      </c>
      <c r="B19" s="3" t="s">
        <v>51</v>
      </c>
      <c r="C19" s="2" t="s">
        <v>109</v>
      </c>
      <c r="D19" s="12" t="s">
        <v>131</v>
      </c>
    </row>
    <row r="20" spans="1:4" x14ac:dyDescent="0.3">
      <c r="A20" s="2">
        <v>18</v>
      </c>
      <c r="B20" s="3" t="s">
        <v>52</v>
      </c>
      <c r="C20" s="2" t="s">
        <v>132</v>
      </c>
      <c r="D20" s="12" t="s">
        <v>133</v>
      </c>
    </row>
    <row r="21" spans="1:4" x14ac:dyDescent="0.3">
      <c r="A21" s="2">
        <v>19</v>
      </c>
      <c r="B21" s="3" t="s">
        <v>53</v>
      </c>
      <c r="C21" s="2" t="s">
        <v>109</v>
      </c>
      <c r="D21" s="12" t="s">
        <v>134</v>
      </c>
    </row>
    <row r="22" spans="1:4" x14ac:dyDescent="0.3">
      <c r="A22" s="2">
        <v>20</v>
      </c>
      <c r="B22" s="3" t="s">
        <v>54</v>
      </c>
      <c r="C22" s="2" t="s">
        <v>109</v>
      </c>
      <c r="D22" s="12" t="s">
        <v>135</v>
      </c>
    </row>
    <row r="23" spans="1:4" x14ac:dyDescent="0.3">
      <c r="A23" s="2">
        <v>21</v>
      </c>
      <c r="B23" s="3" t="s">
        <v>55</v>
      </c>
      <c r="C23" s="2" t="s">
        <v>109</v>
      </c>
      <c r="D23" s="12" t="s">
        <v>136</v>
      </c>
    </row>
    <row r="24" spans="1:4" x14ac:dyDescent="0.3">
      <c r="A24" s="2">
        <v>22</v>
      </c>
      <c r="B24" s="3" t="s">
        <v>56</v>
      </c>
      <c r="C24" s="2" t="s">
        <v>111</v>
      </c>
      <c r="D24" s="12" t="s">
        <v>137</v>
      </c>
    </row>
    <row r="25" spans="1:4" x14ac:dyDescent="0.3">
      <c r="A25" s="2">
        <v>23</v>
      </c>
      <c r="B25" s="3" t="s">
        <v>57</v>
      </c>
      <c r="C25" s="2" t="s">
        <v>111</v>
      </c>
      <c r="D25" s="12" t="s">
        <v>138</v>
      </c>
    </row>
    <row r="26" spans="1:4" x14ac:dyDescent="0.3">
      <c r="A26" s="2">
        <v>24</v>
      </c>
      <c r="B26" s="3" t="s">
        <v>58</v>
      </c>
      <c r="C26" s="2" t="s">
        <v>126</v>
      </c>
      <c r="D26" s="12" t="s">
        <v>139</v>
      </c>
    </row>
    <row r="27" spans="1:4" x14ac:dyDescent="0.3">
      <c r="A27" s="2">
        <v>25</v>
      </c>
      <c r="B27" s="3" t="s">
        <v>59</v>
      </c>
      <c r="C27" s="2" t="s">
        <v>122</v>
      </c>
      <c r="D27" s="12" t="s">
        <v>140</v>
      </c>
    </row>
    <row r="28" spans="1:4" ht="26.4" x14ac:dyDescent="0.3">
      <c r="A28" s="2">
        <v>26</v>
      </c>
      <c r="B28" s="3" t="s">
        <v>60</v>
      </c>
      <c r="C28" s="2" t="s">
        <v>126</v>
      </c>
      <c r="D28" s="12" t="s">
        <v>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workbookViewId="0">
      <selection activeCell="A8" sqref="A8:D8"/>
    </sheetView>
  </sheetViews>
  <sheetFormatPr defaultRowHeight="14.4" x14ac:dyDescent="0.3"/>
  <cols>
    <col min="1" max="4" width="20" customWidth="1"/>
  </cols>
  <sheetData>
    <row r="1" spans="1:4" x14ac:dyDescent="0.3">
      <c r="A1" s="5" t="s">
        <v>142</v>
      </c>
      <c r="B1" s="5" t="s">
        <v>143</v>
      </c>
      <c r="C1" s="5" t="s">
        <v>144</v>
      </c>
      <c r="D1" s="5" t="s">
        <v>145</v>
      </c>
    </row>
    <row r="2" spans="1:4" x14ac:dyDescent="0.3">
      <c r="A2" s="13" t="s">
        <v>62</v>
      </c>
      <c r="B2" s="8">
        <f>COUNTIF(training_sample!$B$2:$B$41,$A2)</f>
        <v>10</v>
      </c>
      <c r="C2" s="8">
        <v>62</v>
      </c>
      <c r="D2" s="14">
        <f>IF($C$6=0,0,C2/$C$6)</f>
        <v>0.248</v>
      </c>
    </row>
    <row r="3" spans="1:4" x14ac:dyDescent="0.3">
      <c r="A3" s="13" t="s">
        <v>73</v>
      </c>
      <c r="B3" s="8">
        <f>COUNTIF(training_sample!$B$2:$B$41,$A3)</f>
        <v>10</v>
      </c>
      <c r="C3" s="8">
        <v>66</v>
      </c>
      <c r="D3" s="14">
        <f>IF($C$6=0,0,C3/$C$6)</f>
        <v>0.26400000000000001</v>
      </c>
    </row>
    <row r="4" spans="1:4" x14ac:dyDescent="0.3">
      <c r="A4" s="13" t="s">
        <v>84</v>
      </c>
      <c r="B4" s="8">
        <f>COUNTIF(training_sample!$B$2:$B$41,$A4)</f>
        <v>10</v>
      </c>
      <c r="C4" s="8">
        <v>62</v>
      </c>
      <c r="D4" s="14">
        <f>IF($C$6=0,0,C4/$C$6)</f>
        <v>0.248</v>
      </c>
    </row>
    <row r="5" spans="1:4" x14ac:dyDescent="0.3">
      <c r="A5" s="13" t="s">
        <v>95</v>
      </c>
      <c r="B5" s="8">
        <f>COUNTIF(training_sample!$B$2:$B$41,$A5)</f>
        <v>10</v>
      </c>
      <c r="C5" s="8">
        <v>60</v>
      </c>
      <c r="D5" s="14">
        <f>IF($C$6=0,0,C5/$C$6)</f>
        <v>0.24</v>
      </c>
    </row>
    <row r="6" spans="1:4" x14ac:dyDescent="0.3">
      <c r="A6" s="15" t="s">
        <v>146</v>
      </c>
      <c r="B6" s="16">
        <f>SUM(B2:B5)</f>
        <v>40</v>
      </c>
      <c r="C6" s="16">
        <f>SUM(C2:C5)</f>
        <v>250</v>
      </c>
      <c r="D6" s="17">
        <f>SUM(D2:D5)</f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training_sample</vt:lpstr>
      <vt:lpstr>feature_schema</vt:lpstr>
      <vt:lpstr>class_balance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Nikhil Emmanuel</cp:lastModifiedBy>
  <dcterms:created xsi:type="dcterms:W3CDTF">2026-08-20T17:47:33Z</dcterms:created>
  <dcterms:modified xsi:type="dcterms:W3CDTF">2026-08-20T17:53:46Z</dcterms:modified>
</cp:coreProperties>
</file>